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6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7.xml" ContentType="application/vnd.openxmlformats-officedocument.drawing+xml"/>
  <Override PartName="/xl/worksheets/sheet22.xml" ContentType="application/vnd.openxmlformats-officedocument.spreadsheetml.worksheet+xml"/>
  <Override PartName="/xl/drawings/drawing8.xml" ContentType="application/vnd.openxmlformats-officedocument.drawing+xml"/>
  <Override PartName="/xl/worksheets/sheet23.xml" ContentType="application/vnd.openxmlformats-officedocument.spreadsheetml.worksheet+xml"/>
  <Override PartName="/xl/drawings/drawing9.xml" ContentType="application/vnd.openxmlformats-officedocument.drawing+xml"/>
  <Override PartName="/xl/worksheets/sheet24.xml" ContentType="application/vnd.openxmlformats-officedocument.spreadsheetml.worksheet+xml"/>
  <Override PartName="/xl/drawings/drawing10.xml" ContentType="application/vnd.openxmlformats-officedocument.drawing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Raw Data (Sample)" sheetId="3" state="visible" r:id="rId3"/>
    <sheet xmlns:r="http://schemas.openxmlformats.org/officeDocument/2006/relationships" name="Q1 – Age &amp; Readmission" sheetId="4" state="visible" r:id="rId4"/>
    <sheet xmlns:r="http://schemas.openxmlformats.org/officeDocument/2006/relationships" name="Q2 – LOS by Specialty" sheetId="5" state="visible" r:id="rId5"/>
    <sheet xmlns:r="http://schemas.openxmlformats.org/officeDocument/2006/relationships" name="Q3 – Emergency &amp; Readmission" sheetId="6" state="visible" r:id="rId6"/>
    <sheet xmlns:r="http://schemas.openxmlformats.org/officeDocument/2006/relationships" name="Q4 – Diabetes Readmission" sheetId="7" state="visible" r:id="rId7"/>
    <sheet xmlns:r="http://schemas.openxmlformats.org/officeDocument/2006/relationships" name="Q5 – Med Change vs Readmission" sheetId="8" state="visible" r:id="rId8"/>
    <sheet xmlns:r="http://schemas.openxmlformats.org/officeDocument/2006/relationships" name="Q6 – Lab Procedures" sheetId="9" state="visible" r:id="rId9"/>
    <sheet xmlns:r="http://schemas.openxmlformats.org/officeDocument/2006/relationships" name="Q7 – Race &amp; Gender" sheetId="10" state="visible" r:id="rId10"/>
    <sheet xmlns:r="http://schemas.openxmlformats.org/officeDocument/2006/relationships" name="Q8 – Weight Analysis" sheetId="11" state="visible" r:id="rId11"/>
    <sheet xmlns:r="http://schemas.openxmlformats.org/officeDocument/2006/relationships" name="Q9 – Medications vs LOS" sheetId="12" state="visible" r:id="rId12"/>
    <sheet xmlns:r="http://schemas.openxmlformats.org/officeDocument/2006/relationships" name="Q10 – Outpatient &amp; Readmission" sheetId="13" state="visible" r:id="rId13"/>
    <sheet xmlns:r="http://schemas.openxmlformats.org/officeDocument/2006/relationships" name="MQ1 – Comorbidity Analysis" sheetId="14" state="visible" r:id="rId14"/>
    <sheet xmlns:r="http://schemas.openxmlformats.org/officeDocument/2006/relationships" name="MQ2 – Demographic Disparities" sheetId="15" state="visible" r:id="rId15"/>
    <sheet xmlns:r="http://schemas.openxmlformats.org/officeDocument/2006/relationships" name="MQ3 – Visits by Diagnosis" sheetId="16" state="visible" r:id="rId16"/>
    <sheet xmlns:r="http://schemas.openxmlformats.org/officeDocument/2006/relationships" name="MQ4 – Specialty Prescribing" sheetId="17" state="visible" r:id="rId17"/>
    <sheet xmlns:r="http://schemas.openxmlformats.org/officeDocument/2006/relationships" name="MQ5 – Diabetic Meds" sheetId="18" state="visible" r:id="rId18"/>
    <sheet xmlns:r="http://schemas.openxmlformats.org/officeDocument/2006/relationships" name="MQ6 – Race × Age Heatmap" sheetId="19" state="visible" r:id="rId19"/>
    <sheet xmlns:r="http://schemas.openxmlformats.org/officeDocument/2006/relationships" name="MQ7 – Integrated Risk Profile" sheetId="20" state="visible" r:id="rId20"/>
    <sheet xmlns:r="http://schemas.openxmlformats.org/officeDocument/2006/relationships" name="AQ1 – Predictive Risk Model" sheetId="21" state="visible" r:id="rId21"/>
    <sheet xmlns:r="http://schemas.openxmlformats.org/officeDocument/2006/relationships" name="AQ2 – Patient Segmentation" sheetId="22" state="visible" r:id="rId22"/>
    <sheet xmlns:r="http://schemas.openxmlformats.org/officeDocument/2006/relationships" name="AQ3 – Financial Impact" sheetId="23" state="visible" r:id="rId23"/>
    <sheet xmlns:r="http://schemas.openxmlformats.org/officeDocument/2006/relationships" name="AQ4 – Social Determinants" sheetId="24" state="visible" r:id="rId24"/>
    <sheet xmlns:r="http://schemas.openxmlformats.org/officeDocument/2006/relationships" name="AQ5 – Follow-Up Program" sheetId="25" state="visible" r:id="rId2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\+0.0%;\-0.0%;0.0%"/>
    <numFmt numFmtId="166" formatCode="\$#,##0"/>
    <numFmt numFmtId="167" formatCode="0.0"/>
    <numFmt numFmtId="168" formatCode="\+0.0%;\-0.0%"/>
  </numFmts>
  <fonts count="5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20"/>
    </font>
    <font>
      <name val="Arial"/>
      <charset val="1"/>
      <family val="0"/>
      <color rgb="FFFFFFFF"/>
      <sz val="13"/>
    </font>
    <font>
      <name val="Arial"/>
      <charset val="1"/>
      <family val="0"/>
      <b val="1"/>
      <color rgb="FF1F3864"/>
      <sz val="10"/>
    </font>
    <font>
      <name val="Arial"/>
      <charset val="1"/>
      <family val="0"/>
      <color rgb="FF404040"/>
      <sz val="10"/>
    </font>
    <font>
      <name val="Arial"/>
      <charset val="1"/>
      <family val="0"/>
      <b val="1"/>
      <color rgb="FF0B5345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2E5CA8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8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404040"/>
      <sz val="9"/>
    </font>
    <font>
      <name val="Arial"/>
      <charset val="1"/>
      <family val="0"/>
      <b val="1"/>
      <color rgb="FFC0392B"/>
      <sz val="9"/>
    </font>
    <font>
      <name val="Arial"/>
      <charset val="1"/>
      <family val="0"/>
      <b val="1"/>
      <color rgb="FF1E7145"/>
      <sz val="9"/>
    </font>
    <font>
      <name val="Arial"/>
      <charset val="1"/>
      <family val="0"/>
      <i val="1"/>
      <color rgb="FF2E5CA8"/>
      <sz val="9"/>
    </font>
    <font>
      <name val="Arial"/>
      <charset val="1"/>
      <family val="0"/>
      <b val="1"/>
      <color rgb="FF404040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i val="1"/>
      <color rgb="FF1F3864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color rgb="FFC0392B"/>
      <sz val="10"/>
    </font>
    <font>
      <name val="Arial"/>
      <charset val="1"/>
      <family val="0"/>
      <b val="1"/>
      <color rgb="FF2E5CA8"/>
      <sz val="11"/>
    </font>
    <font>
      <name val="Arial"/>
      <charset val="1"/>
      <family val="0"/>
      <b val="1"/>
      <color rgb="FF1E7145"/>
      <sz val="10"/>
    </font>
    <font>
      <name val="Arial"/>
      <charset val="1"/>
      <family val="0"/>
      <b val="1"/>
      <color rgb="FF1E7145"/>
      <sz val="11"/>
    </font>
    <font>
      <name val="Arial"/>
      <charset val="1"/>
      <family val="0"/>
      <b val="1"/>
      <color rgb="FF2E5CA8"/>
      <sz val="10"/>
    </font>
    <font>
      <name val="Arial"/>
      <charset val="1"/>
      <family val="0"/>
      <b val="1"/>
      <color rgb="FFC9A227"/>
      <sz val="10"/>
    </font>
    <font>
      <name val="Arial"/>
      <charset val="1"/>
      <family val="0"/>
      <b val="1"/>
      <color rgb="FF404040"/>
      <sz val="11"/>
    </font>
    <font>
      <name val="Arial"/>
      <charset val="1"/>
      <family val="0"/>
      <b val="1"/>
      <color rgb="FFC0392B"/>
      <sz val="11"/>
    </font>
    <font>
      <name val="Arial"/>
      <charset val="1"/>
      <family val="0"/>
      <b val="1"/>
      <color rgb="FFC9A227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FFFFFF"/>
      <sz val="10"/>
    </font>
    <font>
      <name val="Arial"/>
      <charset val="1"/>
      <family val="0"/>
      <color rgb="FF1F3864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sz val="9"/>
    </font>
    <font>
      <name val="Arial"/>
      <charset val="1"/>
      <family val="0"/>
      <color rgb="FF555555"/>
      <sz val="10"/>
    </font>
    <font>
      <name val="Arial"/>
      <charset val="1"/>
      <family val="0"/>
      <color rgb="FF1E8449"/>
      <sz val="10"/>
    </font>
    <font>
      <name val="Arial"/>
      <charset val="1"/>
      <family val="0"/>
      <color rgb="FF444444"/>
      <sz val="10"/>
    </font>
    <font>
      <name val="Arial"/>
      <charset val="1"/>
      <family val="0"/>
      <color rgb="FF1A1A2E"/>
      <sz val="9"/>
    </font>
    <font>
      <name val="Arial"/>
      <charset val="1"/>
      <family val="0"/>
      <b val="1"/>
      <color rgb="FF1E5631"/>
      <sz val="10"/>
    </font>
    <font>
      <name val="Arial"/>
      <charset val="1"/>
      <family val="0"/>
      <color rgb="FF333333"/>
      <sz val="10"/>
    </font>
    <font>
      <name val="Arial"/>
      <charset val="1"/>
      <family val="0"/>
      <color rgb="FF1A5276"/>
      <sz val="10"/>
    </font>
    <font>
      <name val="Arial"/>
      <charset val="1"/>
      <family val="0"/>
      <color rgb="FF000000"/>
      <sz val="9"/>
    </font>
    <font>
      <name val="Arial"/>
      <b val="1"/>
      <sz val="10"/>
    </font>
    <font>
      <name val="Arial"/>
      <i val="1"/>
      <color rgb="00FF0000"/>
      <sz val="9"/>
    </font>
    <font>
      <name val="Arial"/>
      <i val="1"/>
      <color rgb="00595959"/>
      <sz val="9"/>
    </font>
    <font>
      <name val="Arial"/>
      <b val="1"/>
      <color rgb="FFFFFFFF"/>
      <sz val="12"/>
    </font>
  </fonts>
  <fills count="39">
    <fill>
      <patternFill/>
    </fill>
    <fill>
      <patternFill patternType="gray125"/>
    </fill>
    <fill>
      <patternFill patternType="solid">
        <fgColor rgb="FF1F3864"/>
        <bgColor rgb="FF154360"/>
      </patternFill>
    </fill>
    <fill>
      <patternFill patternType="solid">
        <fgColor rgb="FF2E5CA8"/>
        <bgColor rgb="FF2E75B6"/>
      </patternFill>
    </fill>
    <fill>
      <patternFill patternType="solid">
        <fgColor rgb="FFEBF3FB"/>
        <bgColor rgb="FFEBF5FB"/>
      </patternFill>
    </fill>
    <fill>
      <patternFill patternType="solid">
        <fgColor rgb="FFFFFFFF"/>
        <bgColor rgb="FFF9F9F9"/>
      </patternFill>
    </fill>
    <fill>
      <patternFill patternType="solid">
        <fgColor rgb="FFD5F5E3"/>
        <bgColor rgb="FFD7FFD7"/>
      </patternFill>
    </fill>
    <fill>
      <patternFill patternType="solid">
        <fgColor rgb="FFBDD7EE"/>
        <bgColor rgb="FFD6DCE4"/>
      </patternFill>
    </fill>
    <fill>
      <patternFill patternType="solid">
        <fgColor rgb="FF8B6914"/>
        <bgColor rgb="FFC0504D"/>
      </patternFill>
    </fill>
    <fill>
      <patternFill patternType="solid">
        <fgColor rgb="FFFFFDE7"/>
        <bgColor rgb="FFFEF9E7"/>
      </patternFill>
    </fill>
    <fill>
      <patternFill patternType="solid">
        <fgColor rgb="FFC9A227"/>
        <bgColor rgb="FFF39C12"/>
      </patternFill>
    </fill>
    <fill>
      <patternFill patternType="solid">
        <fgColor rgb="FFFFF8E1"/>
        <bgColor rgb="FFFEF9E7"/>
      </patternFill>
    </fill>
    <fill>
      <patternFill patternType="solid">
        <fgColor rgb="FFC0392B"/>
        <bgColor rgb="FFC0504D"/>
      </patternFill>
    </fill>
    <fill>
      <patternFill patternType="solid">
        <fgColor rgb="FFFFE8E8"/>
        <bgColor rgb="FFFFF0F0"/>
      </patternFill>
    </fill>
    <fill>
      <patternFill patternType="solid">
        <fgColor rgb="FF8B0000"/>
        <bgColor rgb="FF800000"/>
      </patternFill>
    </fill>
    <fill>
      <patternFill patternType="solid">
        <fgColor rgb="FFFFF0F0"/>
        <bgColor rgb="FFFFE8E8"/>
      </patternFill>
    </fill>
    <fill>
      <patternFill patternType="solid">
        <fgColor rgb="FF1E7145"/>
        <bgColor rgb="FF1E8449"/>
      </patternFill>
    </fill>
    <fill>
      <patternFill patternType="solid">
        <fgColor rgb="FF404040"/>
        <bgColor rgb="FF444444"/>
      </patternFill>
    </fill>
    <fill>
      <patternFill patternType="solid">
        <fgColor rgb="FFFFD7D7"/>
        <bgColor rgb="FFFADBD8"/>
      </patternFill>
    </fill>
    <fill>
      <patternFill patternType="solid">
        <fgColor rgb="FFD7FFD7"/>
        <bgColor rgb="FFD5F5E3"/>
      </patternFill>
    </fill>
    <fill>
      <patternFill patternType="solid">
        <fgColor rgb="FF1E8449"/>
        <bgColor rgb="FF1E7145"/>
      </patternFill>
    </fill>
    <fill>
      <patternFill patternType="solid">
        <fgColor rgb="FFF1C40F"/>
        <bgColor rgb="FFF39C12"/>
      </patternFill>
    </fill>
    <fill>
      <patternFill patternType="solid">
        <fgColor rgb="FFF39C12"/>
        <bgColor rgb="FFC9A227"/>
      </patternFill>
    </fill>
    <fill>
      <patternFill patternType="solid">
        <fgColor rgb="FFE74C3C"/>
        <bgColor rgb="FFC0504D"/>
      </patternFill>
    </fill>
    <fill>
      <patternFill patternType="solid">
        <fgColor rgb="FF2ECC71"/>
        <bgColor rgb="FF1E8449"/>
      </patternFill>
    </fill>
    <fill>
      <patternFill patternType="solid">
        <fgColor rgb="FFCCCCCC"/>
        <bgColor rgb="FFD9D9D9"/>
      </patternFill>
    </fill>
    <fill>
      <patternFill patternType="solid">
        <fgColor rgb="FFE67E22"/>
        <bgColor rgb="FFF39C12"/>
      </patternFill>
    </fill>
    <fill>
      <patternFill patternType="solid">
        <fgColor rgb="FFD5E8D4"/>
        <bgColor rgb="FFD6E4F0"/>
      </patternFill>
    </fill>
    <fill>
      <patternFill patternType="solid">
        <fgColor rgb="FFD6DCE4"/>
        <bgColor rgb="FFD9D9D9"/>
      </patternFill>
    </fill>
    <fill>
      <patternFill patternType="solid">
        <fgColor rgb="FF6B3FA0"/>
        <bgColor rgb="FF8064A2"/>
      </patternFill>
    </fill>
    <fill>
      <patternFill patternType="solid">
        <fgColor rgb="FF2E75B6"/>
        <bgColor rgb="FF4A7EBB"/>
      </patternFill>
    </fill>
    <fill>
      <patternFill patternType="solid">
        <fgColor rgb="FFD6E4F0"/>
        <bgColor rgb="FFD6DCE4"/>
      </patternFill>
    </fill>
    <fill>
      <patternFill patternType="solid">
        <fgColor rgb="FF2C3E50"/>
        <bgColor rgb="FF1F3864"/>
      </patternFill>
    </fill>
    <fill>
      <patternFill patternType="solid">
        <fgColor rgb="FFEBF5FB"/>
        <bgColor rgb="FFEBF3FB"/>
      </patternFill>
    </fill>
    <fill>
      <patternFill patternType="solid">
        <fgColor rgb="FFFEF9E7"/>
        <bgColor rgb="FFFFF8E1"/>
      </patternFill>
    </fill>
    <fill>
      <patternFill patternType="solid">
        <fgColor rgb="FF154360"/>
        <bgColor rgb="FF1F3864"/>
      </patternFill>
    </fill>
    <fill>
      <patternFill patternType="solid">
        <fgColor rgb="FFFADBD8"/>
        <bgColor rgb="FFFFD7D7"/>
      </patternFill>
    </fill>
    <fill>
      <patternFill patternType="solid">
        <fgColor rgb="FF0B5345"/>
        <bgColor rgb="FF1E5631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D6DCE4"/>
      </top>
      <bottom/>
      <diagonal/>
    </border>
    <border>
      <left/>
      <right style="thin">
        <color rgb="FFD6DCE4"/>
      </right>
      <top style="thin">
        <color rgb="FFD6DCE4"/>
      </top>
      <bottom/>
      <diagonal/>
    </border>
    <border>
      <left/>
      <right/>
      <top style="thin">
        <color rgb="FFD6DCE4"/>
      </top>
      <bottom style="thin">
        <color rgb="FFD6DCE4"/>
      </bottom>
      <diagonal/>
    </border>
    <border>
      <left/>
      <right style="thin">
        <color rgb="FFD6DCE4"/>
      </right>
      <top style="thin">
        <color rgb="FFD6DCE4"/>
      </top>
      <bottom style="thin">
        <color rgb="FFD6DCE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left" vertical="center" wrapText="1"/>
    </xf>
    <xf numFmtId="0" fontId="10" fillId="10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left" vertical="center" wrapText="1"/>
    </xf>
    <xf numFmtId="0" fontId="9" fillId="12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11" fillId="13" borderId="0" applyAlignment="1" pivotButton="0" quotePrefix="0" xfId="0">
      <alignment horizontal="left" vertical="center" wrapText="1"/>
    </xf>
    <xf numFmtId="0" fontId="10" fillId="14" borderId="0" applyAlignment="1" pivotButton="0" quotePrefix="0" xfId="0">
      <alignment horizontal="center" vertical="center" wrapText="1"/>
    </xf>
    <xf numFmtId="0" fontId="11" fillId="15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5" fillId="12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6" fillId="12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4" fillId="16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5" fillId="16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center" wrapText="1"/>
    </xf>
    <xf numFmtId="0" fontId="14" fillId="17" borderId="0" applyAlignment="1" pivotButton="0" quotePrefix="0" xfId="0">
      <alignment horizontal="center" vertical="center" wrapText="1"/>
    </xf>
    <xf numFmtId="0" fontId="15" fillId="17" borderId="0" applyAlignment="1" pivotButton="0" quotePrefix="0" xfId="0">
      <alignment horizontal="center" vertical="center" wrapText="1"/>
    </xf>
    <xf numFmtId="0" fontId="16" fillId="17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left" vertical="center" wrapText="1"/>
    </xf>
    <xf numFmtId="0" fontId="18" fillId="15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left" vertical="center" wrapText="1"/>
    </xf>
    <xf numFmtId="0" fontId="19" fillId="18" borderId="1" applyAlignment="1" pivotButton="0" quotePrefix="0" xfId="0">
      <alignment horizontal="center" vertical="center" wrapText="1"/>
    </xf>
    <xf numFmtId="0" fontId="20" fillId="19" borderId="1" applyAlignment="1" pivotButton="0" quotePrefix="0" xfId="0">
      <alignment horizontal="center" vertical="center" wrapText="1"/>
    </xf>
    <xf numFmtId="0" fontId="21" fillId="4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22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22" fillId="5" borderId="1" applyAlignment="1" pivotButton="0" quotePrefix="0" xfId="0">
      <alignment horizontal="center" vertical="center" wrapText="1"/>
    </xf>
    <xf numFmtId="164" fontId="23" fillId="4" borderId="1" applyAlignment="1" pivotButton="0" quotePrefix="0" xfId="0">
      <alignment horizontal="center" vertical="center" wrapText="1"/>
    </xf>
    <xf numFmtId="164" fontId="23" fillId="5" borderId="1" applyAlignment="1" pivotButton="0" quotePrefix="0" xfId="0">
      <alignment horizontal="center" vertical="center" wrapText="1"/>
    </xf>
    <xf numFmtId="164" fontId="10" fillId="3" borderId="1" applyAlignment="1" pivotButton="0" quotePrefix="0" xfId="0">
      <alignment horizontal="center" vertical="center" wrapText="1"/>
    </xf>
    <xf numFmtId="0" fontId="24" fillId="4" borderId="0" applyAlignment="1" pivotButton="0" quotePrefix="0" xfId="0">
      <alignment horizontal="left" vertical="center" wrapText="1"/>
    </xf>
    <xf numFmtId="2" fontId="23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2" fontId="23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2" fontId="28" fillId="5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2" fontId="7" fillId="5" borderId="1" applyAlignment="1" pivotButton="0" quotePrefix="0" xfId="0">
      <alignment horizontal="center" vertical="center" wrapText="1"/>
    </xf>
    <xf numFmtId="0" fontId="29" fillId="7" borderId="1" applyAlignment="1" pivotButton="0" quotePrefix="0" xfId="0">
      <alignment horizontal="center" vertical="center" wrapText="1"/>
    </xf>
    <xf numFmtId="164" fontId="30" fillId="4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general" vertical="bottom"/>
    </xf>
    <xf numFmtId="164" fontId="10" fillId="2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31" fillId="7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165" fontId="28" fillId="4" borderId="1" applyAlignment="1" pivotButton="0" quotePrefix="0" xfId="0">
      <alignment horizontal="center" vertical="center" wrapText="1"/>
    </xf>
    <xf numFmtId="165" fontId="28" fillId="5" borderId="1" applyAlignment="1" pivotButton="0" quotePrefix="0" xfId="0">
      <alignment horizontal="center" vertical="center" wrapText="1"/>
    </xf>
    <xf numFmtId="0" fontId="32" fillId="7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165" fontId="30" fillId="5" borderId="1" applyAlignment="1" pivotButton="0" quotePrefix="0" xfId="0">
      <alignment horizontal="center" vertical="center" wrapText="1"/>
    </xf>
    <xf numFmtId="165" fontId="30" fillId="4" borderId="1" applyAlignment="1" pivotButton="0" quotePrefix="0" xfId="0">
      <alignment horizontal="center" vertical="center" wrapText="1"/>
    </xf>
    <xf numFmtId="165" fontId="23" fillId="5" borderId="1" applyAlignment="1" pivotButton="0" quotePrefix="0" xfId="0">
      <alignment horizontal="center" vertical="center" wrapText="1"/>
    </xf>
    <xf numFmtId="165" fontId="23" fillId="4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164" fontId="14" fillId="2" borderId="1" applyAlignment="1" pivotButton="0" quotePrefix="0" xfId="0">
      <alignment horizontal="center" vertical="center" wrapText="1"/>
    </xf>
    <xf numFmtId="164" fontId="10" fillId="20" borderId="1" applyAlignment="1" pivotButton="0" quotePrefix="0" xfId="0">
      <alignment horizontal="center" vertical="center" wrapText="1"/>
    </xf>
    <xf numFmtId="164" fontId="10" fillId="21" borderId="1" applyAlignment="1" pivotButton="0" quotePrefix="0" xfId="0">
      <alignment horizontal="center" vertical="center" wrapText="1"/>
    </xf>
    <xf numFmtId="164" fontId="10" fillId="22" borderId="1" applyAlignment="1" pivotButton="0" quotePrefix="0" xfId="0">
      <alignment horizontal="center" vertical="center" wrapText="1"/>
    </xf>
    <xf numFmtId="164" fontId="10" fillId="23" borderId="1" applyAlignment="1" pivotButton="0" quotePrefix="0" xfId="0">
      <alignment horizontal="center" vertical="center" wrapText="1"/>
    </xf>
    <xf numFmtId="164" fontId="10" fillId="24" borderId="1" applyAlignment="1" pivotButton="0" quotePrefix="0" xfId="0">
      <alignment horizontal="center" vertical="center" wrapText="1"/>
    </xf>
    <xf numFmtId="0" fontId="10" fillId="25" borderId="1" applyAlignment="1" pivotButton="0" quotePrefix="0" xfId="0">
      <alignment horizontal="center" vertical="center" wrapText="1"/>
    </xf>
    <xf numFmtId="164" fontId="10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10" fillId="23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0" fontId="33" fillId="4" borderId="1" applyAlignment="1" pivotButton="0" quotePrefix="0" xfId="0">
      <alignment horizontal="center" vertical="center" wrapText="1"/>
    </xf>
    <xf numFmtId="3" fontId="34" fillId="27" borderId="1" applyAlignment="1" pivotButton="0" quotePrefix="0" xfId="0">
      <alignment horizontal="center" vertical="center" wrapText="1"/>
    </xf>
    <xf numFmtId="3" fontId="34" fillId="18" borderId="1" applyAlignment="1" pivotButton="0" quotePrefix="0" xfId="0">
      <alignment horizontal="center" vertical="center" wrapText="1"/>
    </xf>
    <xf numFmtId="3" fontId="22" fillId="5" borderId="1" applyAlignment="1" pivotButton="0" quotePrefix="0" xfId="0">
      <alignment horizontal="center" vertical="center" wrapText="1"/>
    </xf>
    <xf numFmtId="3" fontId="22" fillId="4" borderId="1" applyAlignment="1" pivotButton="0" quotePrefix="0" xfId="0">
      <alignment horizontal="center" vertical="center" wrapText="1"/>
    </xf>
    <xf numFmtId="3" fontId="34" fillId="4" borderId="1" applyAlignment="1" pivotButton="0" quotePrefix="0" xfId="0">
      <alignment horizontal="center" vertical="center" wrapText="1"/>
    </xf>
    <xf numFmtId="0" fontId="0" fillId="28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0" fontId="10" fillId="29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left" vertical="center" wrapText="1"/>
    </xf>
    <xf numFmtId="0" fontId="32" fillId="5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166" fontId="35" fillId="5" borderId="1" applyAlignment="1" pivotButton="0" quotePrefix="0" xfId="0">
      <alignment horizontal="center" vertical="center" wrapText="1"/>
    </xf>
    <xf numFmtId="166" fontId="36" fillId="4" borderId="1" applyAlignment="1" pivotButton="0" quotePrefix="0" xfId="0">
      <alignment horizontal="center" vertical="center" wrapText="1"/>
    </xf>
    <xf numFmtId="166" fontId="31" fillId="5" borderId="1" applyAlignment="1" pivotButton="0" quotePrefix="0" xfId="0">
      <alignment horizontal="center" vertical="center" wrapText="1"/>
    </xf>
    <xf numFmtId="166" fontId="31" fillId="4" borderId="1" applyAlignment="1" pivotButton="0" quotePrefix="0" xfId="0">
      <alignment horizontal="center" vertical="center" wrapText="1"/>
    </xf>
    <xf numFmtId="166" fontId="22" fillId="5" borderId="1" applyAlignment="1" pivotButton="0" quotePrefix="0" xfId="0">
      <alignment horizontal="center" vertical="center" wrapText="1"/>
    </xf>
    <xf numFmtId="166" fontId="30" fillId="5" borderId="1" applyAlignment="1" pivotButton="0" quotePrefix="0" xfId="0">
      <alignment horizontal="center" vertical="center" wrapText="1"/>
    </xf>
    <xf numFmtId="166" fontId="22" fillId="4" borderId="1" applyAlignment="1" pivotButton="0" quotePrefix="0" xfId="0">
      <alignment horizontal="center" vertical="center" wrapText="1"/>
    </xf>
    <xf numFmtId="166" fontId="30" fillId="4" borderId="1" applyAlignment="1" pivotButton="0" quotePrefix="0" xfId="0">
      <alignment horizontal="center" vertical="center" wrapText="1"/>
    </xf>
    <xf numFmtId="166" fontId="10" fillId="3" borderId="1" applyAlignment="1" pivotButton="0" quotePrefix="0" xfId="0">
      <alignment horizontal="center" vertical="center" wrapText="1"/>
    </xf>
    <xf numFmtId="166" fontId="7" fillId="5" borderId="1" applyAlignment="1" pivotButton="0" quotePrefix="0" xfId="0">
      <alignment horizontal="center" vertical="center" wrapText="1"/>
    </xf>
    <xf numFmtId="166" fontId="7" fillId="4" borderId="1" applyAlignment="1" pivotButton="0" quotePrefix="0" xfId="0">
      <alignment horizontal="center" vertical="center" wrapText="1"/>
    </xf>
    <xf numFmtId="0" fontId="37" fillId="2" borderId="0" applyAlignment="1" pivotButton="0" quotePrefix="0" xfId="0">
      <alignment horizontal="center" vertical="center"/>
    </xf>
    <xf numFmtId="0" fontId="38" fillId="30" borderId="0" applyAlignment="1" pivotButton="0" quotePrefix="0" xfId="0">
      <alignment horizontal="center" vertical="center"/>
    </xf>
    <xf numFmtId="0" fontId="39" fillId="31" borderId="0" applyAlignment="1" pivotButton="0" quotePrefix="0" xfId="0">
      <alignment horizontal="center" vertical="center"/>
    </xf>
    <xf numFmtId="0" fontId="9" fillId="32" borderId="0" applyAlignment="1" pivotButton="0" quotePrefix="0" xfId="0">
      <alignment horizontal="center" vertical="center"/>
    </xf>
    <xf numFmtId="0" fontId="10" fillId="30" borderId="2" applyAlignment="1" pivotButton="0" quotePrefix="0" xfId="0">
      <alignment horizontal="center" vertical="center" wrapText="1"/>
    </xf>
    <xf numFmtId="0" fontId="11" fillId="33" borderId="2" applyAlignment="1" pivotButton="0" quotePrefix="0" xfId="0">
      <alignment horizontal="left" vertical="center"/>
    </xf>
    <xf numFmtId="3" fontId="11" fillId="33" borderId="2" applyAlignment="1" pivotButton="0" quotePrefix="0" xfId="0">
      <alignment horizontal="center" vertical="center"/>
    </xf>
    <xf numFmtId="164" fontId="11" fillId="33" borderId="2" applyAlignment="1" pivotButton="0" quotePrefix="0" xfId="0">
      <alignment horizontal="center" vertical="center"/>
    </xf>
    <xf numFmtId="164" fontId="40" fillId="33" borderId="2" applyAlignment="1" pivotButton="0" quotePrefix="0" xfId="0">
      <alignment horizontal="center" vertical="center"/>
    </xf>
    <xf numFmtId="167" fontId="11" fillId="33" borderId="2" applyAlignment="1" pivotButton="0" quotePrefix="0" xfId="0">
      <alignment horizontal="center" vertical="center"/>
    </xf>
    <xf numFmtId="2" fontId="11" fillId="33" borderId="2" applyAlignment="1" pivotButton="0" quotePrefix="0" xfId="0">
      <alignment horizontal="center" vertical="center"/>
    </xf>
    <xf numFmtId="0" fontId="41" fillId="34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/>
    </xf>
    <xf numFmtId="3" fontId="11" fillId="5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center" vertical="center"/>
    </xf>
    <xf numFmtId="164" fontId="40" fillId="5" borderId="2" applyAlignment="1" pivotButton="0" quotePrefix="0" xfId="0">
      <alignment horizontal="center" vertical="center"/>
    </xf>
    <xf numFmtId="167" fontId="11" fillId="5" borderId="2" applyAlignment="1" pivotButton="0" quotePrefix="0" xfId="0">
      <alignment horizontal="center" vertical="center"/>
    </xf>
    <xf numFmtId="2" fontId="11" fillId="5" borderId="2" applyAlignment="1" pivotButton="0" quotePrefix="0" xfId="0">
      <alignment horizontal="center" vertical="center"/>
    </xf>
    <xf numFmtId="0" fontId="41" fillId="6" borderId="2" applyAlignment="1" pivotButton="0" quotePrefix="0" xfId="0">
      <alignment horizontal="center" vertical="center"/>
    </xf>
    <xf numFmtId="0" fontId="10" fillId="30" borderId="2" applyAlignment="1" pivotButton="0" quotePrefix="0" xfId="0">
      <alignment horizontal="center" vertical="center"/>
    </xf>
    <xf numFmtId="0" fontId="11" fillId="33" borderId="2" applyAlignment="1" pivotButton="0" quotePrefix="0" xfId="0">
      <alignment horizontal="center" vertical="center"/>
    </xf>
    <xf numFmtId="168" fontId="11" fillId="33" borderId="2" applyAlignment="1" pivotButton="0" quotePrefix="0" xfId="0">
      <alignment horizontal="center" vertical="center"/>
    </xf>
    <xf numFmtId="0" fontId="42" fillId="33" borderId="2" applyAlignment="1" pivotButton="0" quotePrefix="0" xfId="0">
      <alignment horizontal="left" vertical="center"/>
    </xf>
    <xf numFmtId="0" fontId="11" fillId="5" borderId="2" applyAlignment="1" pivotButton="0" quotePrefix="0" xfId="0">
      <alignment horizontal="center" vertical="center"/>
    </xf>
    <xf numFmtId="168" fontId="11" fillId="5" borderId="2" applyAlignment="1" pivotButton="0" quotePrefix="0" xfId="0">
      <alignment horizontal="center" vertical="center"/>
    </xf>
    <xf numFmtId="0" fontId="42" fillId="5" borderId="2" applyAlignment="1" pivotButton="0" quotePrefix="0" xfId="0">
      <alignment horizontal="left" vertical="center"/>
    </xf>
    <xf numFmtId="168" fontId="43" fillId="33" borderId="2" applyAlignment="1" pivotButton="0" quotePrefix="0" xfId="0">
      <alignment horizontal="center" vertical="center"/>
    </xf>
    <xf numFmtId="168" fontId="43" fillId="5" borderId="2" applyAlignment="1" pivotButton="0" quotePrefix="0" xfId="0">
      <alignment horizontal="center" vertical="center"/>
    </xf>
    <xf numFmtId="0" fontId="40" fillId="33" borderId="2" applyAlignment="1" pivotButton="0" quotePrefix="0" xfId="0">
      <alignment horizontal="left" vertical="center"/>
    </xf>
    <xf numFmtId="0" fontId="44" fillId="33" borderId="2" applyAlignment="1" pivotButton="0" quotePrefix="0" xfId="0">
      <alignment horizontal="left" vertical="center" wrapText="1"/>
    </xf>
    <xf numFmtId="0" fontId="40" fillId="5" borderId="2" applyAlignment="1" pivotButton="0" quotePrefix="0" xfId="0">
      <alignment horizontal="left" vertical="center"/>
    </xf>
    <xf numFmtId="168" fontId="28" fillId="5" borderId="2" applyAlignment="1" pivotButton="0" quotePrefix="0" xfId="0">
      <alignment horizontal="center" vertical="center"/>
    </xf>
    <xf numFmtId="0" fontId="44" fillId="5" borderId="2" applyAlignment="1" pivotButton="0" quotePrefix="0" xfId="0">
      <alignment horizontal="left" vertical="center" wrapText="1"/>
    </xf>
    <xf numFmtId="168" fontId="28" fillId="33" borderId="2" applyAlignment="1" pivotButton="0" quotePrefix="0" xfId="0">
      <alignment horizontal="center" vertical="center"/>
    </xf>
    <xf numFmtId="0" fontId="9" fillId="35" borderId="0" applyAlignment="1" pivotButton="0" quotePrefix="0" xfId="0">
      <alignment horizontal="center" vertical="center"/>
    </xf>
    <xf numFmtId="0" fontId="45" fillId="33" borderId="0" applyAlignment="1" pivotButton="0" quotePrefix="0" xfId="0">
      <alignment horizontal="left" vertical="center" wrapText="1"/>
    </xf>
    <xf numFmtId="0" fontId="46" fillId="6" borderId="0" applyAlignment="1" pivotButton="0" quotePrefix="0" xfId="0">
      <alignment horizontal="center" vertical="center"/>
    </xf>
    <xf numFmtId="0" fontId="47" fillId="33" borderId="2" applyAlignment="1" pivotButton="0" quotePrefix="0" xfId="0">
      <alignment horizontal="left" vertical="center" wrapText="1"/>
    </xf>
    <xf numFmtId="0" fontId="40" fillId="33" borderId="2" applyAlignment="1" pivotButton="0" quotePrefix="0" xfId="0">
      <alignment horizontal="center" vertical="center"/>
    </xf>
    <xf numFmtId="0" fontId="48" fillId="33" borderId="2" applyAlignment="1" pivotButton="0" quotePrefix="0" xfId="0">
      <alignment horizontal="left" vertical="center" wrapText="1"/>
    </xf>
    <xf numFmtId="0" fontId="47" fillId="5" borderId="2" applyAlignment="1" pivotButton="0" quotePrefix="0" xfId="0">
      <alignment horizontal="left" vertical="center" wrapText="1"/>
    </xf>
    <xf numFmtId="0" fontId="40" fillId="5" borderId="2" applyAlignment="1" pivotButton="0" quotePrefix="0" xfId="0">
      <alignment horizontal="center" vertical="center"/>
    </xf>
    <xf numFmtId="0" fontId="48" fillId="5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general" vertical="bottom"/>
    </xf>
    <xf numFmtId="0" fontId="49" fillId="33" borderId="2" applyAlignment="1" pivotButton="0" quotePrefix="0" xfId="0">
      <alignment horizontal="left" vertical="center" wrapText="1"/>
    </xf>
    <xf numFmtId="0" fontId="49" fillId="5" borderId="2" applyAlignment="1" pivotButton="0" quotePrefix="0" xfId="0">
      <alignment horizontal="left" vertical="center" wrapText="1"/>
    </xf>
    <xf numFmtId="0" fontId="11" fillId="36" borderId="2" applyAlignment="1" pivotButton="0" quotePrefix="0" xfId="0">
      <alignment horizontal="left" vertical="center"/>
    </xf>
    <xf numFmtId="0" fontId="11" fillId="36" borderId="2" applyAlignment="1" pivotButton="0" quotePrefix="0" xfId="0">
      <alignment horizontal="center" vertical="center"/>
    </xf>
    <xf numFmtId="0" fontId="40" fillId="36" borderId="2" applyAlignment="1" pivotButton="0" quotePrefix="0" xfId="0">
      <alignment horizontal="center" vertical="center"/>
    </xf>
    <xf numFmtId="0" fontId="11" fillId="34" borderId="2" applyAlignment="1" pivotButton="0" quotePrefix="0" xfId="0">
      <alignment horizontal="left" vertical="center"/>
    </xf>
    <xf numFmtId="0" fontId="11" fillId="34" borderId="2" applyAlignment="1" pivotButton="0" quotePrefix="0" xfId="0">
      <alignment horizontal="center" vertical="center"/>
    </xf>
    <xf numFmtId="0" fontId="40" fillId="34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40" fillId="6" borderId="2" applyAlignment="1" pivotButton="0" quotePrefix="0" xfId="0">
      <alignment horizontal="center" vertical="center"/>
    </xf>
    <xf numFmtId="0" fontId="9" fillId="37" borderId="0" applyAlignment="1" pivotButton="0" quotePrefix="0" xfId="0">
      <alignment horizontal="center" vertical="center"/>
    </xf>
    <xf numFmtId="0" fontId="45" fillId="6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left" vertical="center" wrapText="1"/>
    </xf>
    <xf numFmtId="0" fontId="10" fillId="10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left" vertical="center" wrapText="1"/>
    </xf>
    <xf numFmtId="0" fontId="9" fillId="12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11" fillId="13" borderId="0" applyAlignment="1" pivotButton="0" quotePrefix="0" xfId="0">
      <alignment horizontal="left" vertical="center" wrapText="1"/>
    </xf>
    <xf numFmtId="0" fontId="10" fillId="14" borderId="0" applyAlignment="1" pivotButton="0" quotePrefix="0" xfId="0">
      <alignment horizontal="center" vertical="center" wrapText="1"/>
    </xf>
    <xf numFmtId="0" fontId="11" fillId="15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5" fillId="12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6" fillId="12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4" fillId="16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5" fillId="16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center" wrapText="1"/>
    </xf>
    <xf numFmtId="0" fontId="14" fillId="17" borderId="0" applyAlignment="1" pivotButton="0" quotePrefix="0" xfId="0">
      <alignment horizontal="center" vertical="center" wrapText="1"/>
    </xf>
    <xf numFmtId="0" fontId="15" fillId="17" borderId="0" applyAlignment="1" pivotButton="0" quotePrefix="0" xfId="0">
      <alignment horizontal="center" vertical="center" wrapText="1"/>
    </xf>
    <xf numFmtId="0" fontId="16" fillId="17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left" vertical="center" wrapText="1"/>
    </xf>
    <xf numFmtId="0" fontId="18" fillId="15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left" vertical="center" wrapText="1"/>
    </xf>
    <xf numFmtId="0" fontId="19" fillId="18" borderId="1" applyAlignment="1" pivotButton="0" quotePrefix="0" xfId="0">
      <alignment horizontal="center" vertical="center" wrapText="1"/>
    </xf>
    <xf numFmtId="0" fontId="20" fillId="19" borderId="1" applyAlignment="1" pivotButton="0" quotePrefix="0" xfId="0">
      <alignment horizontal="center" vertical="center" wrapText="1"/>
    </xf>
    <xf numFmtId="0" fontId="21" fillId="4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22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22" fillId="5" borderId="1" applyAlignment="1" pivotButton="0" quotePrefix="0" xfId="0">
      <alignment horizontal="center" vertical="center" wrapText="1"/>
    </xf>
    <xf numFmtId="164" fontId="23" fillId="4" borderId="1" applyAlignment="1" pivotButton="0" quotePrefix="0" xfId="0">
      <alignment horizontal="center" vertical="center" wrapText="1"/>
    </xf>
    <xf numFmtId="164" fontId="23" fillId="5" borderId="1" applyAlignment="1" pivotButton="0" quotePrefix="0" xfId="0">
      <alignment horizontal="center" vertical="center" wrapText="1"/>
    </xf>
    <xf numFmtId="164" fontId="10" fillId="3" borderId="1" applyAlignment="1" pivotButton="0" quotePrefix="0" xfId="0">
      <alignment horizontal="center" vertical="center" wrapText="1"/>
    </xf>
    <xf numFmtId="0" fontId="24" fillId="4" borderId="0" applyAlignment="1" pivotButton="0" quotePrefix="0" xfId="0">
      <alignment horizontal="left" vertical="center" wrapText="1"/>
    </xf>
    <xf numFmtId="2" fontId="23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2" fontId="23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2" fontId="28" fillId="5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2" fontId="7" fillId="5" borderId="1" applyAlignment="1" pivotButton="0" quotePrefix="0" xfId="0">
      <alignment horizontal="center" vertical="center" wrapText="1"/>
    </xf>
    <xf numFmtId="0" fontId="29" fillId="7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4" fontId="30" fillId="4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general" vertical="bottom"/>
    </xf>
    <xf numFmtId="164" fontId="10" fillId="2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31" fillId="7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165" fontId="28" fillId="4" borderId="1" applyAlignment="1" pivotButton="0" quotePrefix="0" xfId="0">
      <alignment horizontal="center" vertical="center" wrapText="1"/>
    </xf>
    <xf numFmtId="165" fontId="28" fillId="5" borderId="1" applyAlignment="1" pivotButton="0" quotePrefix="0" xfId="0">
      <alignment horizontal="center" vertical="center" wrapText="1"/>
    </xf>
    <xf numFmtId="0" fontId="32" fillId="7" borderId="1" applyAlignment="1" pivotButton="0" quotePrefix="0" xfId="0">
      <alignment horizontal="center" vertical="center" wrapText="1"/>
    </xf>
    <xf numFmtId="165" fontId="30" fillId="5" borderId="1" applyAlignment="1" pivotButton="0" quotePrefix="0" xfId="0">
      <alignment horizontal="center" vertical="center" wrapText="1"/>
    </xf>
    <xf numFmtId="165" fontId="30" fillId="4" borderId="1" applyAlignment="1" pivotButton="0" quotePrefix="0" xfId="0">
      <alignment horizontal="center" vertical="center" wrapText="1"/>
    </xf>
    <xf numFmtId="165" fontId="23" fillId="5" borderId="1" applyAlignment="1" pivotButton="0" quotePrefix="0" xfId="0">
      <alignment horizontal="center" vertical="center" wrapText="1"/>
    </xf>
    <xf numFmtId="165" fontId="23" fillId="4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164" fontId="14" fillId="2" borderId="1" applyAlignment="1" pivotButton="0" quotePrefix="0" xfId="0">
      <alignment horizontal="center" vertical="center" wrapText="1"/>
    </xf>
    <xf numFmtId="164" fontId="10" fillId="20" borderId="1" applyAlignment="1" pivotButton="0" quotePrefix="0" xfId="0">
      <alignment horizontal="center" vertical="center" wrapText="1"/>
    </xf>
    <xf numFmtId="164" fontId="10" fillId="21" borderId="1" applyAlignment="1" pivotButton="0" quotePrefix="0" xfId="0">
      <alignment horizontal="center" vertical="center" wrapText="1"/>
    </xf>
    <xf numFmtId="164" fontId="10" fillId="22" borderId="1" applyAlignment="1" pivotButton="0" quotePrefix="0" xfId="0">
      <alignment horizontal="center" vertical="center" wrapText="1"/>
    </xf>
    <xf numFmtId="164" fontId="10" fillId="23" borderId="1" applyAlignment="1" pivotButton="0" quotePrefix="0" xfId="0">
      <alignment horizontal="center" vertical="center" wrapText="1"/>
    </xf>
    <xf numFmtId="164" fontId="10" fillId="24" borderId="1" applyAlignment="1" pivotButton="0" quotePrefix="0" xfId="0">
      <alignment horizontal="center" vertical="center" wrapText="1"/>
    </xf>
    <xf numFmtId="0" fontId="10" fillId="25" borderId="1" applyAlignment="1" pivotButton="0" quotePrefix="0" xfId="0">
      <alignment horizontal="center" vertical="center" wrapText="1"/>
    </xf>
    <xf numFmtId="164" fontId="10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10" fillId="23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0" fontId="33" fillId="4" borderId="1" applyAlignment="1" pivotButton="0" quotePrefix="0" xfId="0">
      <alignment horizontal="center" vertical="center" wrapText="1"/>
    </xf>
    <xf numFmtId="3" fontId="34" fillId="27" borderId="1" applyAlignment="1" pivotButton="0" quotePrefix="0" xfId="0">
      <alignment horizontal="center" vertical="center" wrapText="1"/>
    </xf>
    <xf numFmtId="3" fontId="34" fillId="18" borderId="1" applyAlignment="1" pivotButton="0" quotePrefix="0" xfId="0">
      <alignment horizontal="center" vertical="center" wrapText="1"/>
    </xf>
    <xf numFmtId="3" fontId="22" fillId="5" borderId="1" applyAlignment="1" pivotButton="0" quotePrefix="0" xfId="0">
      <alignment horizontal="center" vertical="center" wrapText="1"/>
    </xf>
    <xf numFmtId="3" fontId="22" fillId="4" borderId="1" applyAlignment="1" pivotButton="0" quotePrefix="0" xfId="0">
      <alignment horizontal="center" vertical="center" wrapText="1"/>
    </xf>
    <xf numFmtId="3" fontId="34" fillId="4" borderId="1" applyAlignment="1" pivotButton="0" quotePrefix="0" xfId="0">
      <alignment horizontal="center" vertical="center" wrapText="1"/>
    </xf>
    <xf numFmtId="0" fontId="0" fillId="28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0" fontId="10" fillId="29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left" vertical="center" wrapText="1"/>
    </xf>
    <xf numFmtId="0" fontId="32" fillId="5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166" fontId="35" fillId="5" borderId="1" applyAlignment="1" pivotButton="0" quotePrefix="0" xfId="0">
      <alignment horizontal="center" vertical="center" wrapText="1"/>
    </xf>
    <xf numFmtId="166" fontId="36" fillId="4" borderId="1" applyAlignment="1" pivotButton="0" quotePrefix="0" xfId="0">
      <alignment horizontal="center" vertical="center" wrapText="1"/>
    </xf>
    <xf numFmtId="166" fontId="31" fillId="5" borderId="1" applyAlignment="1" pivotButton="0" quotePrefix="0" xfId="0">
      <alignment horizontal="center" vertical="center" wrapText="1"/>
    </xf>
    <xf numFmtId="166" fontId="31" fillId="4" borderId="1" applyAlignment="1" pivotButton="0" quotePrefix="0" xfId="0">
      <alignment horizontal="center" vertical="center" wrapText="1"/>
    </xf>
    <xf numFmtId="166" fontId="22" fillId="5" borderId="1" applyAlignment="1" pivotButton="0" quotePrefix="0" xfId="0">
      <alignment horizontal="center" vertical="center" wrapText="1"/>
    </xf>
    <xf numFmtId="166" fontId="30" fillId="5" borderId="1" applyAlignment="1" pivotButton="0" quotePrefix="0" xfId="0">
      <alignment horizontal="center" vertical="center" wrapText="1"/>
    </xf>
    <xf numFmtId="166" fontId="22" fillId="4" borderId="1" applyAlignment="1" pivotButton="0" quotePrefix="0" xfId="0">
      <alignment horizontal="center" vertical="center" wrapText="1"/>
    </xf>
    <xf numFmtId="166" fontId="30" fillId="4" borderId="1" applyAlignment="1" pivotButton="0" quotePrefix="0" xfId="0">
      <alignment horizontal="center" vertical="center" wrapText="1"/>
    </xf>
    <xf numFmtId="166" fontId="10" fillId="3" borderId="1" applyAlignment="1" pivotButton="0" quotePrefix="0" xfId="0">
      <alignment horizontal="center" vertical="center" wrapText="1"/>
    </xf>
    <xf numFmtId="166" fontId="7" fillId="5" borderId="1" applyAlignment="1" pivotButton="0" quotePrefix="0" xfId="0">
      <alignment horizontal="center" vertical="center" wrapText="1"/>
    </xf>
    <xf numFmtId="166" fontId="7" fillId="4" borderId="1" applyAlignment="1" pivotButton="0" quotePrefix="0" xfId="0">
      <alignment horizontal="center" vertical="center" wrapText="1"/>
    </xf>
    <xf numFmtId="0" fontId="37" fillId="2" borderId="0" applyAlignment="1" pivotButton="0" quotePrefix="0" xfId="0">
      <alignment horizontal="center" vertical="center"/>
    </xf>
    <xf numFmtId="0" fontId="38" fillId="30" borderId="0" applyAlignment="1" pivotButton="0" quotePrefix="0" xfId="0">
      <alignment horizontal="center" vertical="center"/>
    </xf>
    <xf numFmtId="0" fontId="39" fillId="31" borderId="0" applyAlignment="1" pivotButton="0" quotePrefix="0" xfId="0">
      <alignment horizontal="center" vertical="center"/>
    </xf>
    <xf numFmtId="0" fontId="9" fillId="32" borderId="0" applyAlignment="1" pivotButton="0" quotePrefix="0" xfId="0">
      <alignment horizontal="center" vertical="center"/>
    </xf>
    <xf numFmtId="0" fontId="10" fillId="30" borderId="2" applyAlignment="1" pivotButton="0" quotePrefix="0" xfId="0">
      <alignment horizontal="center" vertical="center" wrapText="1"/>
    </xf>
    <xf numFmtId="0" fontId="11" fillId="33" borderId="2" applyAlignment="1" pivotButton="0" quotePrefix="0" xfId="0">
      <alignment horizontal="left" vertical="center"/>
    </xf>
    <xf numFmtId="3" fontId="11" fillId="33" borderId="2" applyAlignment="1" pivotButton="0" quotePrefix="0" xfId="0">
      <alignment horizontal="center" vertical="center"/>
    </xf>
    <xf numFmtId="164" fontId="11" fillId="33" borderId="2" applyAlignment="1" pivotButton="0" quotePrefix="0" xfId="0">
      <alignment horizontal="center" vertical="center"/>
    </xf>
    <xf numFmtId="164" fontId="40" fillId="33" borderId="2" applyAlignment="1" pivotButton="0" quotePrefix="0" xfId="0">
      <alignment horizontal="center" vertical="center"/>
    </xf>
    <xf numFmtId="167" fontId="11" fillId="33" borderId="2" applyAlignment="1" pivotButton="0" quotePrefix="0" xfId="0">
      <alignment horizontal="center" vertical="center"/>
    </xf>
    <xf numFmtId="2" fontId="11" fillId="33" borderId="2" applyAlignment="1" pivotButton="0" quotePrefix="0" xfId="0">
      <alignment horizontal="center" vertical="center"/>
    </xf>
    <xf numFmtId="0" fontId="41" fillId="34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/>
    </xf>
    <xf numFmtId="3" fontId="11" fillId="5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center" vertical="center"/>
    </xf>
    <xf numFmtId="164" fontId="40" fillId="5" borderId="2" applyAlignment="1" pivotButton="0" quotePrefix="0" xfId="0">
      <alignment horizontal="center" vertical="center"/>
    </xf>
    <xf numFmtId="167" fontId="11" fillId="5" borderId="2" applyAlignment="1" pivotButton="0" quotePrefix="0" xfId="0">
      <alignment horizontal="center" vertical="center"/>
    </xf>
    <xf numFmtId="2" fontId="11" fillId="5" borderId="2" applyAlignment="1" pivotButton="0" quotePrefix="0" xfId="0">
      <alignment horizontal="center" vertical="center"/>
    </xf>
    <xf numFmtId="0" fontId="41" fillId="6" borderId="2" applyAlignment="1" pivotButton="0" quotePrefix="0" xfId="0">
      <alignment horizontal="center" vertical="center"/>
    </xf>
    <xf numFmtId="0" fontId="10" fillId="30" borderId="2" applyAlignment="1" pivotButton="0" quotePrefix="0" xfId="0">
      <alignment horizontal="center" vertical="center"/>
    </xf>
    <xf numFmtId="0" fontId="11" fillId="33" borderId="2" applyAlignment="1" pivotButton="0" quotePrefix="0" xfId="0">
      <alignment horizontal="center" vertical="center"/>
    </xf>
    <xf numFmtId="168" fontId="11" fillId="33" borderId="2" applyAlignment="1" pivotButton="0" quotePrefix="0" xfId="0">
      <alignment horizontal="center" vertical="center"/>
    </xf>
    <xf numFmtId="0" fontId="42" fillId="33" borderId="2" applyAlignment="1" pivotButton="0" quotePrefix="0" xfId="0">
      <alignment horizontal="left" vertical="center"/>
    </xf>
    <xf numFmtId="0" fontId="11" fillId="5" borderId="2" applyAlignment="1" pivotButton="0" quotePrefix="0" xfId="0">
      <alignment horizontal="center" vertical="center"/>
    </xf>
    <xf numFmtId="168" fontId="11" fillId="5" borderId="2" applyAlignment="1" pivotButton="0" quotePrefix="0" xfId="0">
      <alignment horizontal="center" vertical="center"/>
    </xf>
    <xf numFmtId="0" fontId="42" fillId="5" borderId="2" applyAlignment="1" pivotButton="0" quotePrefix="0" xfId="0">
      <alignment horizontal="left" vertical="center"/>
    </xf>
    <xf numFmtId="168" fontId="43" fillId="33" borderId="2" applyAlignment="1" pivotButton="0" quotePrefix="0" xfId="0">
      <alignment horizontal="center" vertical="center"/>
    </xf>
    <xf numFmtId="168" fontId="43" fillId="5" borderId="2" applyAlignment="1" pivotButton="0" quotePrefix="0" xfId="0">
      <alignment horizontal="center" vertical="center"/>
    </xf>
    <xf numFmtId="0" fontId="40" fillId="33" borderId="2" applyAlignment="1" pivotButton="0" quotePrefix="0" xfId="0">
      <alignment horizontal="left" vertical="center"/>
    </xf>
    <xf numFmtId="0" fontId="44" fillId="33" borderId="2" applyAlignment="1" pivotButton="0" quotePrefix="0" xfId="0">
      <alignment horizontal="left" vertical="center" wrapText="1"/>
    </xf>
    <xf numFmtId="0" fontId="40" fillId="5" borderId="2" applyAlignment="1" pivotButton="0" quotePrefix="0" xfId="0">
      <alignment horizontal="left" vertical="center"/>
    </xf>
    <xf numFmtId="168" fontId="28" fillId="5" borderId="2" applyAlignment="1" pivotButton="0" quotePrefix="0" xfId="0">
      <alignment horizontal="center" vertical="center"/>
    </xf>
    <xf numFmtId="0" fontId="44" fillId="5" borderId="2" applyAlignment="1" pivotButton="0" quotePrefix="0" xfId="0">
      <alignment horizontal="left" vertical="center" wrapText="1"/>
    </xf>
    <xf numFmtId="168" fontId="28" fillId="33" borderId="2" applyAlignment="1" pivotButton="0" quotePrefix="0" xfId="0">
      <alignment horizontal="center" vertical="center"/>
    </xf>
    <xf numFmtId="0" fontId="9" fillId="35" borderId="0" applyAlignment="1" pivotButton="0" quotePrefix="0" xfId="0">
      <alignment horizontal="center" vertical="center"/>
    </xf>
    <xf numFmtId="0" fontId="45" fillId="33" borderId="0" applyAlignment="1" pivotButton="0" quotePrefix="0" xfId="0">
      <alignment horizontal="left" vertical="center" wrapText="1"/>
    </xf>
    <xf numFmtId="0" fontId="46" fillId="6" borderId="0" applyAlignment="1" pivotButton="0" quotePrefix="0" xfId="0">
      <alignment horizontal="center" vertical="center"/>
    </xf>
    <xf numFmtId="0" fontId="47" fillId="33" borderId="2" applyAlignment="1" pivotButton="0" quotePrefix="0" xfId="0">
      <alignment horizontal="left" vertical="center" wrapText="1"/>
    </xf>
    <xf numFmtId="0" fontId="40" fillId="33" borderId="2" applyAlignment="1" pivotButton="0" quotePrefix="0" xfId="0">
      <alignment horizontal="center" vertical="center"/>
    </xf>
    <xf numFmtId="0" fontId="48" fillId="33" borderId="2" applyAlignment="1" pivotButton="0" quotePrefix="0" xfId="0">
      <alignment horizontal="left" vertical="center" wrapText="1"/>
    </xf>
    <xf numFmtId="0" fontId="47" fillId="5" borderId="2" applyAlignment="1" pivotButton="0" quotePrefix="0" xfId="0">
      <alignment horizontal="left" vertical="center" wrapText="1"/>
    </xf>
    <xf numFmtId="0" fontId="40" fillId="5" borderId="2" applyAlignment="1" pivotButton="0" quotePrefix="0" xfId="0">
      <alignment horizontal="center" vertical="center"/>
    </xf>
    <xf numFmtId="0" fontId="48" fillId="5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general" vertical="bottom"/>
    </xf>
    <xf numFmtId="0" fontId="49" fillId="33" borderId="2" applyAlignment="1" pivotButton="0" quotePrefix="0" xfId="0">
      <alignment horizontal="left" vertical="center" wrapText="1"/>
    </xf>
    <xf numFmtId="0" fontId="49" fillId="5" borderId="2" applyAlignment="1" pivotButton="0" quotePrefix="0" xfId="0">
      <alignment horizontal="left" vertical="center" wrapText="1"/>
    </xf>
    <xf numFmtId="0" fontId="11" fillId="36" borderId="2" applyAlignment="1" pivotButton="0" quotePrefix="0" xfId="0">
      <alignment horizontal="left" vertical="center"/>
    </xf>
    <xf numFmtId="0" fontId="11" fillId="36" borderId="2" applyAlignment="1" pivotButton="0" quotePrefix="0" xfId="0">
      <alignment horizontal="center" vertical="center"/>
    </xf>
    <xf numFmtId="0" fontId="40" fillId="36" borderId="2" applyAlignment="1" pivotButton="0" quotePrefix="0" xfId="0">
      <alignment horizontal="center" vertical="center"/>
    </xf>
    <xf numFmtId="0" fontId="11" fillId="34" borderId="2" applyAlignment="1" pivotButton="0" quotePrefix="0" xfId="0">
      <alignment horizontal="left" vertical="center"/>
    </xf>
    <xf numFmtId="0" fontId="11" fillId="34" borderId="2" applyAlignment="1" pivotButton="0" quotePrefix="0" xfId="0">
      <alignment horizontal="center" vertical="center"/>
    </xf>
    <xf numFmtId="0" fontId="40" fillId="34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40" fillId="6" borderId="2" applyAlignment="1" pivotButton="0" quotePrefix="0" xfId="0">
      <alignment horizontal="center" vertical="center"/>
    </xf>
    <xf numFmtId="0" fontId="9" fillId="37" borderId="0" applyAlignment="1" pivotButton="0" quotePrefix="0" xfId="0">
      <alignment horizontal="center" vertical="center"/>
    </xf>
    <xf numFmtId="0" fontId="45" fillId="6" borderId="0" applyAlignment="1" pivotButton="0" quotePrefix="0" xfId="0">
      <alignment horizontal="left" vertical="center" wrapText="1"/>
    </xf>
    <xf numFmtId="0" fontId="50" fillId="0" borderId="0" pivotButton="0" quotePrefix="0" xfId="0"/>
    <xf numFmtId="0" fontId="7" fillId="38" borderId="1" applyAlignment="1" pivotButton="0" quotePrefix="0" xfId="0">
      <alignment horizontal="center" vertical="center" wrapText="1"/>
    </xf>
    <xf numFmtId="2" fontId="7" fillId="38" borderId="1" applyAlignment="1" pivotButton="0" quotePrefix="0" xfId="0">
      <alignment horizontal="center" vertical="center" wrapText="1"/>
    </xf>
    <xf numFmtId="164" fontId="7" fillId="38" borderId="1" applyAlignment="1" pivotButton="0" quotePrefix="0" xfId="0">
      <alignment horizontal="center" vertical="center" wrapText="1"/>
    </xf>
    <xf numFmtId="0" fontId="51" fillId="0" borderId="0" pivotButton="0" quotePrefix="0" xfId="0"/>
    <xf numFmtId="0" fontId="52" fillId="4" borderId="0" applyAlignment="1" pivotButton="0" quotePrefix="0" xfId="0">
      <alignment horizontal="center" vertical="center" wrapText="1"/>
    </xf>
    <xf numFmtId="0" fontId="53" fillId="2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9A227"/>
      <rgbColor rgb="FFFFE8E8"/>
      <rgbColor rgb="FF0000FF"/>
      <rgbColor rgb="FFD5E8D4"/>
      <rgbColor rgb="FFFFF0F0"/>
      <rgbColor rgb="FFEBF3FB"/>
      <rgbColor rgb="FF8B0000"/>
      <rgbColor rgb="FF1E5631"/>
      <rgbColor rgb="FF2C3E50"/>
      <rgbColor rgb="FF8B6914"/>
      <rgbColor rgb="FF555555"/>
      <rgbColor rgb="FF1E7145"/>
      <rgbColor rgb="FFCCCCCC"/>
      <rgbColor rgb="FF878787"/>
      <rgbColor rgb="FF4A7EBB"/>
      <rgbColor rgb="FFC0504D"/>
      <rgbColor rgb="FFFFF8E1"/>
      <rgbColor rgb="FFD5F5E3"/>
      <rgbColor rgb="FF444444"/>
      <rgbColor rgb="FFE74C3C"/>
      <rgbColor rgb="FF2E5CA8"/>
      <rgbColor rgb="FFBDD7EE"/>
      <rgbColor rgb="FF0B5345"/>
      <rgbColor rgb="FFFF00FF"/>
      <rgbColor rgb="FFFEF9E7"/>
      <rgbColor rgb="FFF9F9F9"/>
      <rgbColor rgb="FF800080"/>
      <rgbColor rgb="FF800000"/>
      <rgbColor rgb="FF1A5276"/>
      <rgbColor rgb="FF0000FF"/>
      <rgbColor rgb="FFD6E4F0"/>
      <rgbColor rgb="FFEBF5FB"/>
      <rgbColor rgb="FFD7FFD7"/>
      <rgbColor rgb="FFFFFDE7"/>
      <rgbColor rgb="FFD6DCE4"/>
      <rgbColor rgb="FFFADBD8"/>
      <rgbColor rgb="FFD9D9D9"/>
      <rgbColor rgb="FFFFD7D7"/>
      <rgbColor rgb="FF2E75B6"/>
      <rgbColor rgb="FF2ECC71"/>
      <rgbColor rgb="FF9BBB59"/>
      <rgbColor rgb="FFF1C40F"/>
      <rgbColor rgb="FFF39C12"/>
      <rgbColor rgb="FFE67E22"/>
      <rgbColor rgb="FF8064A2"/>
      <rgbColor rgb="FF4F81BD"/>
      <rgbColor rgb="FF154360"/>
      <rgbColor rgb="FF1E8449"/>
      <rgbColor rgb="FF1A1A2E"/>
      <rgbColor rgb="FF404040"/>
      <rgbColor rgb="FFC0392B"/>
      <rgbColor rgb="FF6B3FA0"/>
      <rgbColor rgb="FF1F3864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Readmission Rate by Age Group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'Q1 – Age &amp; Readmission'!E3</f>
              <strCache>
                <ptCount val="1"/>
                <pt idx="0">
                  <v>Readmission Rate</v>
                </pt>
              </strCache>
            </strRef>
          </tx>
          <spPr>
            <a:solidFill xmlns:a="http://schemas.openxmlformats.org/drawingml/2006/main">
              <a:srgbClr val="2e5ca8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'Q1 – Age &amp; Readmission'!$A$4:$A$13</f>
              <strCache>
                <ptCount val="10"/>
                <pt idx="0">
                  <v>[0-10)</v>
                </pt>
                <pt idx="1">
                  <v>[10-20)</v>
                </pt>
                <pt idx="2">
                  <v>[20-30)</v>
                </pt>
                <pt idx="3">
                  <v>[30-40)</v>
                </pt>
                <pt idx="4">
                  <v>[40-50)</v>
                </pt>
                <pt idx="5">
                  <v>[50-60)</v>
                </pt>
                <pt idx="6">
                  <v>[60-70)</v>
                </pt>
                <pt idx="7">
                  <v>[70-80)</v>
                </pt>
                <pt idx="8">
                  <v>[80-90)</v>
                </pt>
                <pt idx="9">
                  <v>[90-100)</v>
                </pt>
              </strCache>
            </strRef>
          </cat>
          <val>
            <numRef>
              <f>'Q1 – Age &amp; Readmission'!$E$4:$E$13</f>
              <numCache>
                <formatCode>0.0%</formatCode>
                <ptCount val="10"/>
                <pt idx="0">
                  <v>0.22</v>
                </pt>
                <pt idx="1">
                  <v>0.41588785046729</v>
                </pt>
                <pt idx="2">
                  <v>0.450606585788562</v>
                </pt>
                <pt idx="3">
                  <v>0.420878210439105</v>
                </pt>
                <pt idx="4">
                  <v>0.444971537001898</v>
                </pt>
                <pt idx="5">
                  <v>0.450782211284936</v>
                </pt>
                <pt idx="6">
                  <v>0.462108454024924</v>
                </pt>
                <pt idx="7">
                  <v>0.48024191180788</v>
                </pt>
                <pt idx="8">
                  <v>0.482761732851986</v>
                </pt>
                <pt idx="9">
                  <v>0.38025095471904</v>
                </pt>
              </numCache>
            </numRef>
          </val>
        </ser>
        <gapWidth val="150"/>
        <overlap val="0"/>
        <axId val="64698754"/>
        <axId val="97636794"/>
      </barChart>
      <catAx>
        <axId val="6469875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7636794"/>
        <crosses val="autoZero"/>
        <auto val="1"/>
        <lblAlgn val="ctr"/>
        <lblOffset val="100"/>
        <noMultiLvlLbl val="0"/>
      </catAx>
      <valAx>
        <axId val="9763679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Readmission 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469875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15 Specialties — Avg Length of Stay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'Q2 – LOS by Specialty'!C3</f>
              <strCache>
                <ptCount val="1"/>
                <pt idx="0">
                  <v>Avg Stay (Days)</v>
                </pt>
              </strCache>
            </strRef>
          </tx>
          <spPr>
            <a:solidFill xmlns:a="http://schemas.openxmlformats.org/drawingml/2006/main">
              <a:srgbClr val="c9a227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'Q2 – LOS by Specialty'!$A$4:$A$18</f>
              <strCache>
                <ptCount val="15"/>
                <pt idx="0">
                  <v>PhysicalMedicineandRehabilitation</v>
                </pt>
                <pt idx="1">
                  <v>Psychiatry</v>
                </pt>
                <pt idx="2">
                  <v>Psychology</v>
                </pt>
                <pt idx="3">
                  <v>Surgery-Cardiovascular/Thoracic</v>
                </pt>
                <pt idx="4">
                  <v>Surgery-Thoracic</v>
                </pt>
                <pt idx="5">
                  <v>Pulmonology</v>
                </pt>
                <pt idx="6">
                  <v>Oncology</v>
                </pt>
                <pt idx="7">
                  <v>Surgery-Cardiovascular</v>
                </pt>
                <pt idx="8">
                  <v>Nephrology</v>
                </pt>
                <pt idx="9">
                  <v>Gastroenterology</v>
                </pt>
                <pt idx="10">
                  <v>InternalMedicine</v>
                </pt>
                <pt idx="11">
                  <v>Endocrinology</v>
                </pt>
                <pt idx="12">
                  <v>Surgery-General</v>
                </pt>
                <pt idx="13">
                  <v>Family/GeneralPractice</v>
                </pt>
                <pt idx="14">
                  <v>Emergency/Trauma</v>
                </pt>
              </strCache>
            </strRef>
          </cat>
          <val>
            <numRef>
              <f>'Q2 – LOS by Specialty'!$C$4:$C$18</f>
              <numCache>
                <formatCode>0.00</formatCode>
                <ptCount val="15"/>
                <pt idx="0">
                  <v>8.890000000000001</v>
                </pt>
                <pt idx="1">
                  <v>6.64</v>
                </pt>
                <pt idx="2">
                  <v>6.58</v>
                </pt>
                <pt idx="3">
                  <v>6.08</v>
                </pt>
                <pt idx="4">
                  <v>5.96</v>
                </pt>
                <pt idx="5">
                  <v>5.17</v>
                </pt>
                <pt idx="6">
                  <v>5.12</v>
                </pt>
                <pt idx="7">
                  <v>5.05</v>
                </pt>
                <pt idx="8">
                  <v>4.79</v>
                </pt>
                <pt idx="9">
                  <v>4.58</v>
                </pt>
                <pt idx="10">
                  <v>4.57</v>
                </pt>
                <pt idx="11">
                  <v>4.53</v>
                </pt>
                <pt idx="12">
                  <v>4.52</v>
                </pt>
                <pt idx="13">
                  <v>4.44</v>
                </pt>
                <pt idx="14">
                  <v>4.32</v>
                </pt>
              </numCache>
            </numRef>
          </val>
        </ser>
        <gapWidth val="150"/>
        <overlap val="0"/>
        <axId val="24071015"/>
        <axId val="13367209"/>
      </barChart>
      <catAx>
        <axId val="24071015"/>
        <scaling>
          <orientation val="minMax"/>
        </scaling>
        <delete val="0"/>
        <axPos val="b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Days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3367209"/>
        <crosses val="autoZero"/>
        <auto val="1"/>
        <lblAlgn val="ctr"/>
        <lblOffset val="100"/>
        <noMultiLvlLbl val="0"/>
      </catAx>
      <valAx>
        <axId val="1336720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Specialty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2407101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Readmission Rate by Prior Emergency Visits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'Q3 – Emergency &amp; Readmission'!C4</f>
              <strCache>
                <ptCount val="1"/>
                <pt idx="0">
                  <v>Readmission Rate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'Q3 – Emergency &amp; Readmission'!$A$5:$A$14</f>
              <strCache>
                <ptCount val="10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</strCache>
            </strRef>
          </cat>
          <val>
            <numRef>
              <f>'Q3 – Emergency &amp; Readmission'!$C$5:$C$14</f>
              <numCache>
                <formatCode>0.0%</formatCode>
                <ptCount val="10"/>
                <pt idx="0">
                  <v>0.440418366138068</v>
                </pt>
                <pt idx="1">
                  <v>0.587062732069572</v>
                </pt>
                <pt idx="2">
                  <v>0.675718849840256</v>
                </pt>
                <pt idx="3">
                  <v>0.711864406779661</v>
                </pt>
                <pt idx="4">
                  <v>0.791666666666667</v>
                </pt>
                <pt idx="5">
                  <v>0.844262295081967</v>
                </pt>
                <pt idx="6">
                  <v>0.839080459770115</v>
                </pt>
                <pt idx="7">
                  <v>0.9090909090909089</v>
                </pt>
                <pt idx="8">
                  <v>0.9411764705882349</v>
                </pt>
                <pt idx="9">
                  <v>0.956521739130435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79873473"/>
        <axId val="61712748"/>
      </lineChart>
      <catAx>
        <axId val="79873473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# Prior Emergency Visits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1712748"/>
        <crosses val="autoZero"/>
        <auto val="1"/>
        <lblAlgn val="ctr"/>
        <lblOffset val="100"/>
        <noMultiLvlLbl val="0"/>
      </catAx>
      <valAx>
        <axId val="6171274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Readmission 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987347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Avg Length of Stay by Number of Medications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'Q9 – Medications vs LOS'!D4</f>
              <strCache>
                <ptCount val="1"/>
                <pt idx="0">
                  <v>Avg LOS (Days)</v>
                </pt>
              </strCache>
            </strRef>
          </tx>
          <spPr>
            <a:solidFill xmlns:a="http://schemas.openxmlformats.org/drawingml/2006/main">
              <a:srgbClr val="1e7145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'Q9 – Medications vs LOS'!$A$5:$A$11</f>
              <strCache>
                <ptCount val="7"/>
                <pt idx="0">
                  <v>1-5</v>
                </pt>
                <pt idx="1">
                  <v>6-10</v>
                </pt>
                <pt idx="2">
                  <v>11-15</v>
                </pt>
                <pt idx="3">
                  <v>16-20</v>
                </pt>
                <pt idx="4">
                  <v>21-25</v>
                </pt>
                <pt idx="5">
                  <v>26-30</v>
                </pt>
                <pt idx="6">
                  <v>30+</v>
                </pt>
              </strCache>
            </strRef>
          </cat>
          <val>
            <numRef>
              <f>'Q9 – Medications vs LOS'!$D$5:$D$11</f>
              <numCache>
                <formatCode>General</formatCode>
                <ptCount val="7"/>
                <pt idx="0">
                  <v>2.28</v>
                </pt>
                <pt idx="1">
                  <v>3.02</v>
                </pt>
                <pt idx="2">
                  <v>3.84</v>
                </pt>
                <pt idx="3">
                  <v>4.7</v>
                </pt>
                <pt idx="4">
                  <v>5.66</v>
                </pt>
                <pt idx="5">
                  <v>6.72</v>
                </pt>
                <pt idx="6">
                  <v>8.02</v>
                </pt>
              </numCache>
            </numRef>
          </val>
        </ser>
        <gapWidth val="150"/>
        <overlap val="0"/>
        <axId val="97138836"/>
        <axId val="76962435"/>
      </barChart>
      <catAx>
        <axId val="97138836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Medications Prescribed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6962435"/>
        <crosses val="autoZero"/>
        <auto val="1"/>
        <lblAlgn val="ctr"/>
        <lblOffset val="100"/>
        <noMultiLvlLbl val="0"/>
      </catAx>
      <valAx>
        <axId val="7696243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Days in Hospital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713883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Readmission Rate by Comorbidity Level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'MQ1 – Comorbidity Analysis'!F4</f>
              <strCache>
                <ptCount val="1"/>
                <pt idx="0">
                  <v>Readmission Rate</v>
                </pt>
              </strCache>
            </strRef>
          </tx>
          <spPr>
            <a:solidFill xmlns:a="http://schemas.openxmlformats.org/drawingml/2006/main">
              <a:srgbClr val="6b3fa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'MQ1 – Comorbidity Analysis'!$A$5:$A$8</f>
              <strCache>
                <ptCount val="4"/>
                <pt idx="0">
                  <v>Low (1–3)</v>
                </pt>
                <pt idx="1">
                  <v>Medium (4–6)</v>
                </pt>
                <pt idx="2">
                  <v>High (7–9)</v>
                </pt>
                <pt idx="3">
                  <v>Very High (10+)</v>
                </pt>
              </strCache>
            </strRef>
          </cat>
          <val>
            <numRef>
              <f>'MQ1 – Comorbidity Analysis'!$F$5:$F$8</f>
              <numCache>
                <formatCode>0.0%</formatCode>
                <ptCount val="4"/>
                <pt idx="0">
                  <v>0.340465465465466</v>
                </pt>
                <pt idx="1">
                  <v>0.39663922408932</v>
                </pt>
                <pt idx="2">
                  <v>0.494123004857738</v>
                </pt>
                <pt idx="3">
                  <v>0.493506493506494</v>
                </pt>
              </numCache>
            </numRef>
          </val>
        </ser>
        <gapWidth val="150"/>
        <overlap val="0"/>
        <axId val="17004965"/>
        <axId val="81430191"/>
      </barChart>
      <catAx>
        <axId val="1700496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1430191"/>
        <crosses val="autoZero"/>
        <auto val="1"/>
        <lblAlgn val="ctr"/>
        <lblOffset val="100"/>
        <noMultiLvlLbl val="0"/>
      </catAx>
      <valAx>
        <axId val="8143019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700496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Readmission Rate by Primary Diagnosis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'MQ3 – Visits by Diagnosis'!G3</f>
              <strCache>
                <ptCount val="1"/>
                <pt idx="0">
                  <v>Readmission Rate</v>
                </pt>
              </strCache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'MQ3 – Visits by Diagnosis'!$A$4:$A$15</f>
              <strCache>
                <ptCount val="12"/>
                <pt idx="0">
                  <v>Chronic Bronchitis</v>
                </pt>
                <pt idx="1">
                  <v>Heart Failure</v>
                </pt>
                <pt idx="2">
                  <v>Procedure Complications (996)</v>
                </pt>
                <pt idx="3">
                  <v>Pneumonia</v>
                </pt>
                <pt idx="4">
                  <v>Cardiac Dysrhythmia</v>
                </pt>
                <pt idx="5">
                  <v>Signs/Symptoms NEC</v>
                </pt>
                <pt idx="6">
                  <v>Cellulitis</v>
                </pt>
                <pt idx="7">
                  <v>Cerebrovascular Accident/Stroke (434)</v>
                </pt>
                <pt idx="8">
                  <v>Coronary Artery Disease</v>
                </pt>
                <pt idx="9">
                  <v>Respiratory Symptoms</v>
                </pt>
                <pt idx="10">
                  <v>Acute MI</v>
                </pt>
                <pt idx="11">
                  <v>Osteoarthritis</v>
                </pt>
              </strCache>
            </strRef>
          </cat>
          <val>
            <numRef>
              <f>'MQ3 – Visits by Diagnosis'!$G$4:$G$15</f>
              <numCache>
                <formatCode>0.0%</formatCode>
                <ptCount val="12"/>
                <pt idx="0">
                  <v>0.604501607717042</v>
                </pt>
                <pt idx="1">
                  <v>0.586108676599474</v>
                </pt>
                <pt idx="2">
                  <v>0.523320158102767</v>
                </pt>
                <pt idx="3">
                  <v>0.478728168383341</v>
                </pt>
                <pt idx="4">
                  <v>0.465025181869054</v>
                </pt>
                <pt idx="5">
                  <v>0.461086637298091</v>
                </pt>
                <pt idx="6">
                  <v>0.458789204959883</v>
                </pt>
                <pt idx="7">
                  <v>0.456586826347305</v>
                </pt>
                <pt idx="8">
                  <v>0.422663160411188</v>
                </pt>
                <pt idx="9">
                  <v>0.410680707032719</v>
                </pt>
                <pt idx="10">
                  <v>0.403022670025189</v>
                </pt>
                <pt idx="11">
                  <v>0.359046283309958</v>
                </pt>
              </numCache>
            </numRef>
          </val>
        </ser>
        <gapWidth val="150"/>
        <overlap val="0"/>
        <axId val="85402178"/>
        <axId val="10440625"/>
      </barChart>
      <catAx>
        <axId val="85402178"/>
        <scaling>
          <orientation val="minMax"/>
        </scaling>
        <delete val="0"/>
        <axPos val="b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0440625"/>
        <crosses val="autoZero"/>
        <auto val="1"/>
        <lblAlgn val="ctr"/>
        <lblOffset val="100"/>
        <noMultiLvlLbl val="0"/>
      </catAx>
      <valAx>
        <axId val="1044062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Diagnosis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540217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ROC Curve — Readmission Risk Model (AUC=0.652)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'AQ1 – Predictive Risk Model'!B46</f>
              <strCache>
                <ptCount val="1"/>
                <pt idx="0">
                  <v>True Positive Rate (Sensitivity)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'AQ1 – Predictive Risk Model'!$A$47:$A$58</f>
              <strCache>
                <ptCount val="12"/>
                <pt idx="0">
                  <v>0</v>
                </pt>
                <pt idx="1">
                  <v>0.057</v>
                </pt>
                <pt idx="2">
                  <v>0.127</v>
                </pt>
                <pt idx="3">
                  <v>0.207</v>
                </pt>
                <pt idx="4">
                  <v>0.293</v>
                </pt>
                <pt idx="5">
                  <v>0.392</v>
                </pt>
                <pt idx="6">
                  <v>0.495</v>
                </pt>
                <pt idx="7">
                  <v>0.597</v>
                </pt>
                <pt idx="8">
                  <v>0.718</v>
                </pt>
                <pt idx="9">
                  <v>0.856</v>
                </pt>
                <pt idx="10">
                  <v>1</v>
                </pt>
                <pt idx="11">
                  <v>1</v>
                </pt>
              </strCache>
            </strRef>
          </cat>
          <val>
            <numRef>
              <f>'AQ1 – Predictive Risk Model'!$B$47:$B$58</f>
              <numCache>
                <formatCode>General</formatCode>
                <ptCount val="12"/>
                <pt idx="0">
                  <v>0</v>
                </pt>
                <pt idx="1">
                  <v>0.169</v>
                </pt>
                <pt idx="2">
                  <v>0.295</v>
                </pt>
                <pt idx="3">
                  <v>0.412</v>
                </pt>
                <pt idx="4">
                  <v>0.517</v>
                </pt>
                <pt idx="5">
                  <v>0.611</v>
                </pt>
                <pt idx="6">
                  <v>0.698</v>
                </pt>
                <pt idx="7">
                  <v>0.781</v>
                </pt>
                <pt idx="8">
                  <v>0.86</v>
                </pt>
                <pt idx="9">
                  <v>0.9320000000000001</v>
                </pt>
                <pt idx="10">
                  <v>1</v>
                </pt>
                <pt idx="11">
                  <v>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8854068"/>
        <axId val="4191995"/>
      </lineChart>
      <catAx>
        <axId val="1885406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False Positive Rate (1-Specificity)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191995"/>
        <crosses val="autoZero"/>
        <auto val="1"/>
        <lblAlgn val="ctr"/>
        <lblOffset val="100"/>
        <noMultiLvlLbl val="0"/>
      </catAx>
      <valAx>
        <axId val="419199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True Positive Rate (Sensitivity)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885406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Actual Readmission Rate by Risk Tier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'AQ1 – Predictive Risk Model'!E37</f>
              <strCache>
                <ptCount val="1"/>
                <pt idx="0">
                  <v>Actual Readmit Rate</v>
                </pt>
              </strCache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'AQ1 – Predictive Risk Model'!$A$38:$A$41</f>
              <strCache>
                <ptCount val="4"/>
                <pt idx="0">
                  <v>Low Risk</v>
                </pt>
                <pt idx="1">
                  <v>Medium Risk</v>
                </pt>
                <pt idx="2">
                  <v>High Risk</v>
                </pt>
                <pt idx="3">
                  <v>Critical Risk</v>
                </pt>
              </strCache>
            </strRef>
          </cat>
          <val>
            <numRef>
              <f>'AQ1 – Predictive Risk Model'!$E$38:$E$41</f>
              <numCache>
                <formatCode>0.0%</formatCode>
                <ptCount val="4"/>
                <pt idx="0">
                  <v>0.3282</v>
                </pt>
                <pt idx="1">
                  <v>0.4539</v>
                </pt>
                <pt idx="2">
                  <v>0.582</v>
                </pt>
                <pt idx="3">
                  <v>0.702</v>
                </pt>
              </numCache>
            </numRef>
          </val>
        </ser>
        <gapWidth val="150"/>
        <overlap val="0"/>
        <axId val="3102455"/>
        <axId val="49754580"/>
      </barChart>
      <catAx>
        <axId val="310245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9754580"/>
        <crosses val="autoZero"/>
        <auto val="1"/>
        <lblAlgn val="ctr"/>
        <lblOffset val="100"/>
        <noMultiLvlLbl val="0"/>
      </catAx>
      <valAx>
        <axId val="4975458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Readmission 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10245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Feature Importance — Logistic Regression Coefficients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'AQ1 – Predictive Risk Model'!U2</f>
              <strCache>
                <ptCount val="1"/>
                <pt idx="0">
                  <v>Std. Coefficient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'AQ1 – Predictive Risk Model'!$T$3:$T$10</f>
              <strCache>
                <ptCount val="8"/>
                <pt idx="0">
                  <v>Prior Inpatient</v>
                </pt>
                <pt idx="1">
                  <v>Diabetes Med</v>
                </pt>
                <pt idx="2">
                  <v>Prior Emergency</v>
                </pt>
                <pt idx="3">
                  <v>Outpatient Visits</v>
                </pt>
                <pt idx="4">
                  <v>No. Diagnoses</v>
                </pt>
                <pt idx="5">
                  <v>Gender (F)</v>
                </pt>
                <pt idx="6">
                  <v>Age Group</v>
                </pt>
                <pt idx="7">
                  <v>Days in Hospital</v>
                </pt>
              </strCache>
            </strRef>
          </cat>
          <val>
            <numRef>
              <f>'AQ1 – Predictive Risk Model'!$U$3:$U$10</f>
              <numCache>
                <formatCode>General</formatCode>
                <ptCount val="8"/>
                <pt idx="0">
                  <v>0.3706</v>
                </pt>
                <pt idx="1">
                  <v>0.2617</v>
                </pt>
                <pt idx="2">
                  <v>0.2182</v>
                </pt>
                <pt idx="3">
                  <v>0.0828</v>
                </pt>
                <pt idx="4">
                  <v>0.0742</v>
                </pt>
                <pt idx="5">
                  <v>0.0303</v>
                </pt>
                <pt idx="6">
                  <v>0.0177</v>
                </pt>
                <pt idx="7">
                  <v>0.0132</v>
                </pt>
              </numCache>
            </numRef>
          </val>
        </ser>
        <gapWidth val="150"/>
        <overlap val="0"/>
        <axId val="60377010"/>
        <axId val="4701882"/>
      </barChart>
      <catAx>
        <axId val="60377010"/>
        <scaling>
          <orientation val="minMax"/>
        </scaling>
        <delete val="0"/>
        <axPos val="b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Coefficient Value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701882"/>
        <crosses val="autoZero"/>
        <auto val="1"/>
        <lblAlgn val="ctr"/>
        <lblOffset val="100"/>
        <noMultiLvlLbl val="0"/>
      </catAx>
      <valAx>
        <axId val="470188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Feature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037701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ROC Curve (AUC = 0.652)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'AQ1 – Predictive Risk Model'!X2</f>
              <strCache>
                <ptCount val="1"/>
                <pt idx="0">
                  <v>TPR</v>
                </pt>
              </strCache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 w="20160">
              <a:solidFill>
                <a:srgbClr val="c0392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val>
            <numRef>
              <f>'AQ1 – Predictive Risk Model'!$X$3:$X$14</f>
              <numCache>
                <formatCode>General</formatCode>
                <ptCount val="12"/>
                <pt idx="0">
                  <v>0</v>
                </pt>
                <pt idx="1">
                  <v>0.159</v>
                </pt>
                <pt idx="2">
                  <v>0.279</v>
                </pt>
                <pt idx="3">
                  <v>0.383</v>
                </pt>
                <pt idx="4">
                  <v>0.483</v>
                </pt>
                <pt idx="5">
                  <v>0.573</v>
                </pt>
                <pt idx="6">
                  <v>0.652</v>
                </pt>
                <pt idx="7">
                  <v>0.732</v>
                </pt>
                <pt idx="8">
                  <v>0.804</v>
                </pt>
                <pt idx="9">
                  <v>0.876</v>
                </pt>
                <pt idx="10">
                  <v>0.9360000000000001</v>
                </pt>
                <pt idx="11">
                  <v>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26498629"/>
        <axId val="71443406"/>
      </lineChart>
      <catAx>
        <axId val="26498629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False Positive 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1443406"/>
        <crosses val="autoZero"/>
        <auto val="1"/>
        <lblAlgn val="ctr"/>
        <lblOffset val="100"/>
        <noMultiLvlLbl val="0"/>
      </catAx>
      <valAx>
        <axId val="7144340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True Positive 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2649862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Patient Segments: Count vs Readmission Rate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'AQ2 – Patient Segmentation'!B4</f>
              <strCache>
                <ptCount val="1"/>
                <pt idx="0">
                  <v>Patient Count</v>
                </pt>
              </strCache>
            </strRef>
          </tx>
          <spPr>
            <a:solidFill xmlns:a="http://schemas.openxmlformats.org/drawingml/2006/main">
              <a:srgbClr val="2e5ca8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'AQ2 – Patient Segmentation'!$A$5:$A$8</f>
              <strCache>
                <ptCount val="4"/>
                <pt idx="0">
                  <v>Chronic High-Utilizers</v>
                </pt>
                <pt idx="1">
                  <v>Complex Polypharmacy</v>
                </pt>
                <pt idx="2">
                  <v>Moderate-Acuity Standard</v>
                </pt>
                <pt idx="3">
                  <v>Low-Acuity Short Stay</v>
                </pt>
              </strCache>
            </strRef>
          </cat>
          <val>
            <numRef>
              <f>'AQ2 – Patient Segmentation'!$B$5:$B$8</f>
              <numCache>
                <formatCode>General</formatCode>
                <ptCount val="4"/>
                <pt idx="0">
                  <v>4482</v>
                </pt>
                <pt idx="1">
                  <v>14134</v>
                </pt>
                <pt idx="2">
                  <v>28872</v>
                </pt>
                <pt idx="3">
                  <v>19099</v>
                </pt>
              </numCache>
            </numRef>
          </val>
        </ser>
        <gapWidth val="150"/>
        <overlap val="0"/>
        <axId val="35341231"/>
        <axId val="10880473"/>
      </barChart>
      <catAx>
        <axId val="3534123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0880473"/>
        <crosses val="autoZero"/>
        <auto val="1"/>
        <lblAlgn val="ctr"/>
        <lblOffset val="100"/>
        <noMultiLvlLbl val="0"/>
      </catAx>
      <valAx>
        <axId val="1088047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Patient Count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534123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Patient Volume by Segment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'AQ2 – Patient Segmentation'!P2</f>
              <strCache>
                <ptCount val="1"/>
                <pt idx="0">
                  <v>Patients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'AQ2 – Patient Segmentation'!$O$3:$O$6</f>
              <strCache>
                <ptCount val="4"/>
                <pt idx="0">
                  <v>Chronic High-Utilizers</v>
                </pt>
                <pt idx="1">
                  <v>Complex Polypharmacy</v>
                </pt>
                <pt idx="2">
                  <v>Moderate-Acuity Standard</v>
                </pt>
                <pt idx="3">
                  <v>Low-Acuity Short Stay</v>
                </pt>
              </strCache>
            </strRef>
          </cat>
          <val>
            <numRef>
              <f>'AQ2 – Patient Segmentation'!$P$3:$P$6</f>
              <numCache>
                <formatCode>General</formatCode>
                <ptCount val="4"/>
                <pt idx="0">
                  <v>4482</v>
                </pt>
                <pt idx="1">
                  <v>14134</v>
                </pt>
                <pt idx="2">
                  <v>28872</v>
                </pt>
                <pt idx="3">
                  <v>19099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Readmission Rate by Patient Segment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'AQ2 – Patient Segmentation'!Q2</f>
              <strCache>
                <ptCount val="1"/>
                <pt idx="0">
                  <v>Readmit Rate</v>
                </pt>
              </strCache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'AQ2 – Patient Segmentation'!$O$3:$O$6</f>
              <strCache>
                <ptCount val="4"/>
                <pt idx="0">
                  <v>Chronic High-Utilizers</v>
                </pt>
                <pt idx="1">
                  <v>Complex Polypharmacy</v>
                </pt>
                <pt idx="2">
                  <v>Moderate-Acuity Standard</v>
                </pt>
                <pt idx="3">
                  <v>Low-Acuity Short Stay</v>
                </pt>
              </strCache>
            </strRef>
          </cat>
          <val>
            <numRef>
              <f>'AQ2 – Patient Segmentation'!$Q$3:$Q$6</f>
              <numCache>
                <formatCode>General</formatCode>
                <ptCount val="4"/>
                <pt idx="0">
                  <v>0.7477</v>
                </pt>
                <pt idx="1">
                  <v>0.475</v>
                </pt>
                <pt idx="2">
                  <v>0.4715</v>
                </pt>
                <pt idx="3">
                  <v>0.371</v>
                </pt>
              </numCache>
            </numRef>
          </val>
        </ser>
        <gapWidth val="150"/>
        <overlap val="0"/>
        <axId val="64619601"/>
        <axId val="54472530"/>
      </barChart>
      <catAx>
        <axId val="6461960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54472530"/>
        <crosses val="autoZero"/>
        <auto val="1"/>
        <lblAlgn val="ctr"/>
        <lblOffset val="100"/>
        <noMultiLvlLbl val="0"/>
      </catAx>
      <valAx>
        <axId val="5447253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Readmission 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461960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Estimated Total Cost by Risk Tier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'AQ3 – Financial Impact'!E20</f>
              <strCache>
                <ptCount val="1"/>
                <pt idx="0">
                  <v>Total Cost (Est.)</v>
                </pt>
              </strCache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'AQ3 – Financial Impact'!$A$21:$A$24</f>
              <strCache>
                <ptCount val="4"/>
                <pt idx="0">
                  <v>Low Risk</v>
                </pt>
                <pt idx="1">
                  <v>Medium Risk</v>
                </pt>
                <pt idx="2">
                  <v>High Risk</v>
                </pt>
                <pt idx="3">
                  <v>Critical Risk</v>
                </pt>
              </strCache>
            </strRef>
          </cat>
          <val>
            <numRef>
              <f>'AQ3 – Financial Impact'!$E$21:$E$24</f>
              <numCache>
                <formatCode>\$#,##0</formatCode>
                <ptCount val="4"/>
                <pt idx="0">
                  <v>115080000</v>
                </pt>
                <pt idx="1">
                  <v>166560000</v>
                </pt>
                <pt idx="2">
                  <v>85140000</v>
                </pt>
                <pt idx="3">
                  <v>94680000</v>
                </pt>
              </numCache>
            </numRef>
          </val>
        </ser>
        <gapWidth val="150"/>
        <overlap val="0"/>
        <axId val="59592954"/>
        <axId val="12382560"/>
      </barChart>
      <catAx>
        <axId val="5959295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2382560"/>
        <crosses val="autoZero"/>
        <auto val="1"/>
        <lblAlgn val="ctr"/>
        <lblOffset val="100"/>
        <noMultiLvlLbl val="0"/>
      </catAx>
      <valAx>
        <axId val="1238256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Cost (USD)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5959295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Readmission Rate by Race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'AQ4 – Social Determinants'!K7</f>
              <strCache>
                <ptCount val="1"/>
                <pt idx="0">
                  <v>0.4704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'AQ4 – Social Determinants'!$J$8:$J$12</f>
              <strCache>
                <ptCount val="5"/>
                <pt idx="0">
                  <v>African American</v>
                </pt>
                <pt idx="1">
                  <v>Hispanic</v>
                </pt>
                <pt idx="2">
                  <v>Other</v>
                </pt>
                <pt idx="3">
                  <v>Asian</v>
                </pt>
                <pt idx="4">
                  <v>None</v>
                </pt>
              </strCache>
            </strRef>
          </cat>
          <val>
            <numRef>
              <f>'AQ4 – Social Determinants'!$K$8:$K$12</f>
              <numCache>
                <formatCode>General</formatCode>
                <ptCount val="5"/>
                <pt idx="0">
                  <v>0.4597</v>
                </pt>
                <pt idx="1">
                  <v>0.4075</v>
                </pt>
                <pt idx="2">
                  <v>0.4019</v>
                </pt>
                <pt idx="3">
                  <v>0.3922</v>
                </pt>
              </numCache>
            </numRef>
          </val>
        </ser>
        <gapWidth val="150"/>
        <overlap val="0"/>
        <axId val="41143464"/>
        <axId val="5317993"/>
      </barChart>
      <catAx>
        <axId val="4114346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Race / Ethnicity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5317993"/>
        <crosses val="autoZero"/>
        <auto val="1"/>
        <lblAlgn val="ctr"/>
        <lblOffset val="100"/>
        <noMultiLvlLbl val="0"/>
      </catAx>
      <valAx>
        <axId val="531799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Readmission 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114346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Relationship Type="http://schemas.openxmlformats.org/officeDocument/2006/relationships/chart" Target="/xl/charts/chart10.xml" Id="rId4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drawing1.xml><?xml version="1.0" encoding="utf-8"?>
<wsDr xmlns="http://schemas.openxmlformats.org/drawingml/2006/spreadsheetDrawing">
  <twoCellAnchor editAs="oneCell">
    <from>
      <col>6</col>
      <colOff>0</colOff>
      <row>2</row>
      <rowOff>0</rowOff>
    </from>
    <to>
      <col>13</col>
      <colOff>4680</colOff>
      <row>22</row>
      <rowOff>79200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5</col>
      <colOff>0</colOff>
      <row>2</row>
      <rowOff>0</rowOff>
    </from>
    <to>
      <col>13</col>
      <colOff>113040</colOff>
      <row>31</row>
      <rowOff>120960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5</col>
      <colOff>0</colOff>
      <row>2</row>
      <rowOff>0</rowOff>
    </from>
    <to>
      <col>12</col>
      <colOff>4680</colOff>
      <row>20</row>
      <rowOff>73440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5</col>
      <colOff>0</colOff>
      <row>2</row>
      <rowOff>0</rowOff>
    </from>
    <to>
      <col>12</col>
      <colOff>4680</colOff>
      <row>10</row>
      <rowOff>150480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 editAs="oneCell">
    <from>
      <col>6</col>
      <colOff>0</colOff>
      <row>2</row>
      <rowOff>0</rowOff>
    </from>
    <to>
      <col>12</col>
      <colOff>36720</colOff>
      <row>17</row>
      <rowOff>33480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 editAs="oneCell">
    <from>
      <col>7</col>
      <colOff>0</colOff>
      <row>2</row>
      <rowOff>0</rowOff>
    </from>
    <to>
      <col>14</col>
      <colOff>286560</colOff>
      <row>21</row>
      <rowOff>141840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 editAs="oneCell">
    <from>
      <col>6</col>
      <colOff>0</colOff>
      <row>2</row>
      <rowOff>0</rowOff>
    </from>
    <to>
      <col>11</col>
      <colOff>406440</colOff>
      <row>22</row>
      <rowOff>199080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6</col>
      <colOff>0</colOff>
      <row>24</row>
      <rowOff>0</rowOff>
    </from>
    <to>
      <col>10</col>
      <colOff>298080</colOff>
      <row>38</row>
      <rowOff>131040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34</row>
      <rowOff>0</rowOff>
    </from>
    <to>
      <col>6</col>
      <colOff>2067480</colOff>
      <row>52</row>
      <rowOff>65880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12</col>
      <colOff>0</colOff>
      <row>34</row>
      <rowOff>0</rowOff>
    </from>
    <to>
      <col>24</col>
      <colOff>579600</colOff>
      <row>52</row>
      <rowOff>65880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 editAs="oneCell">
    <from>
      <col>8</col>
      <colOff>0</colOff>
      <row>2</row>
      <rowOff>0</rowOff>
    </from>
    <to>
      <col>15</col>
      <colOff>286560</colOff>
      <row>17</row>
      <rowOff>269640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29</row>
      <rowOff>0</rowOff>
    </from>
    <to>
      <col>5</col>
      <colOff>698040</colOff>
      <row>55</row>
      <rowOff>84960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12</col>
      <colOff>0</colOff>
      <row>29</row>
      <rowOff>0</rowOff>
    </from>
    <to>
      <col>22</col>
      <colOff>362880</colOff>
      <row>55</row>
      <rowOff>84960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 editAs="oneCell">
    <from>
      <col>6</col>
      <colOff>0</colOff>
      <row>2</row>
      <rowOff>0</rowOff>
    </from>
    <to>
      <col>13</col>
      <colOff>427680</colOff>
      <row>20</row>
      <rowOff>50760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0.xml><?xml version="1.0" encoding="utf-8"?>
<wsDr xmlns="http://schemas.openxmlformats.org/drawingml/2006/spreadsheetDrawing">
  <twoCellAnchor editAs="oneCell">
    <from>
      <col>9</col>
      <colOff>0</colOff>
      <row>1</row>
      <rowOff>0</rowOff>
    </from>
    <to>
      <col>19</col>
      <colOff>50040</colOff>
      <row>20</row>
      <rowOff>145800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C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94" min="1" max="1"/>
    <col width="55" customWidth="1" style="194" min="2" max="2"/>
    <col width="68" customWidth="1" style="194" min="3" max="3"/>
  </cols>
  <sheetData>
    <row r="1" ht="49.5" customHeight="1" s="195">
      <c r="B1" s="196" t="inlineStr">
        <is>
          <t>HOSPITAL ADMINISTRATION — READMISSION ANALYSIS</t>
        </is>
      </c>
    </row>
    <row r="2" ht="30" customHeight="1" s="195">
      <c r="B2" s="197" t="inlineStr">
        <is>
          <t>Novartis Hospital | Data Analytics Case Study</t>
        </is>
      </c>
    </row>
    <row r="3" ht="30" customHeight="1" s="195">
      <c r="B3" s="198" t="n"/>
    </row>
    <row r="4" ht="21.75" customHeight="1" s="195">
      <c r="B4" s="199" t="inlineStr">
        <is>
          <t>Dataset</t>
        </is>
      </c>
      <c r="C4" s="200" t="inlineStr">
        <is>
          <t>66,587 patient encounters</t>
        </is>
      </c>
    </row>
    <row r="5" ht="21.75" customHeight="1" s="195">
      <c r="B5" s="199" t="inlineStr">
        <is>
          <t>Period</t>
        </is>
      </c>
      <c r="C5" s="200" t="inlineStr">
        <is>
          <t>Hospital Administration Data (Kaggle)</t>
        </is>
      </c>
    </row>
    <row r="6" ht="21.75" customHeight="1" s="195">
      <c r="B6" s="199" t="inlineStr">
        <is>
          <t>Analyst</t>
        </is>
      </c>
      <c r="C6" s="200" t="inlineStr">
        <is>
          <t>Ronak Sagar</t>
        </is>
      </c>
    </row>
    <row r="7" ht="21.75" customHeight="1" s="195">
      <c r="B7" s="199" t="inlineStr">
        <is>
          <t>Submission</t>
        </is>
      </c>
      <c r="C7" s="200" t="inlineStr">
        <is>
          <t>AQ1	Predictive Risk Model — Logistic Regression (AUC=0.652)</t>
        </is>
      </c>
    </row>
    <row r="8" ht="21.75" customHeight="1" s="195">
      <c r="B8" s="199" t="inlineStr">
        <is>
          <t>Status</t>
        </is>
      </c>
      <c r="C8" s="201" t="inlineStr">
        <is>
          <t>COMPLETE</t>
        </is>
      </c>
    </row>
    <row r="9" ht="9.75" customHeight="1" s="195"/>
    <row r="10" ht="25.5" customHeight="1" s="195">
      <c r="B10" s="202" t="inlineStr">
        <is>
          <t>CONTENTS — SECTION A: BASIC ANALYSIS (Q1–Q10)</t>
        </is>
      </c>
    </row>
    <row r="11" ht="19.5" customHeight="1" s="195">
      <c r="B11" s="203" t="inlineStr">
        <is>
          <t>Q1</t>
        </is>
      </c>
      <c r="C11" s="204" t="inlineStr">
        <is>
          <t>Readmission Rates by Age Group</t>
        </is>
      </c>
    </row>
    <row r="12" ht="19.5" customHeight="1" s="195">
      <c r="B12" s="205" t="inlineStr">
        <is>
          <t>Q2</t>
        </is>
      </c>
      <c r="C12" s="206" t="inlineStr">
        <is>
          <t>Average Length of Stay by Medical Specialty</t>
        </is>
      </c>
    </row>
    <row r="13" ht="19.5" customHeight="1" s="195">
      <c r="B13" s="203" t="inlineStr">
        <is>
          <t>Q3</t>
        </is>
      </c>
      <c r="C13" s="204" t="inlineStr">
        <is>
          <t>Emergency Visits vs Readmission Rates</t>
        </is>
      </c>
    </row>
    <row r="14" ht="19.5" customHeight="1" s="195">
      <c r="B14" s="205" t="inlineStr">
        <is>
          <t>Q4</t>
        </is>
      </c>
      <c r="C14" s="206" t="inlineStr">
        <is>
          <t>Diabetes Patient Readmission Proportion</t>
        </is>
      </c>
    </row>
    <row r="15" ht="19.5" customHeight="1" s="195">
      <c r="B15" s="203" t="inlineStr">
        <is>
          <t>Q5</t>
        </is>
      </c>
      <c r="C15" s="204" t="inlineStr">
        <is>
          <t>Medication Change vs Readmission Rates</t>
        </is>
      </c>
    </row>
    <row r="16" ht="19.5" customHeight="1" s="195">
      <c r="B16" s="205" t="inlineStr">
        <is>
          <t>Q6</t>
        </is>
      </c>
      <c r="C16" s="206" t="inlineStr">
        <is>
          <t>Lab Procedures vs Readmission Rates</t>
        </is>
      </c>
    </row>
    <row r="17" ht="19.5" customHeight="1" s="195">
      <c r="B17" s="203" t="inlineStr">
        <is>
          <t>Q7</t>
        </is>
      </c>
      <c r="C17" s="204" t="inlineStr">
        <is>
          <t>Readmission by Race &amp; Gender</t>
        </is>
      </c>
    </row>
    <row r="18" ht="19.5" customHeight="1" s="195">
      <c r="B18" s="205" t="inlineStr">
        <is>
          <t>Q8</t>
        </is>
      </c>
      <c r="C18" s="206" t="inlineStr">
        <is>
          <t>Weight Data Completeness &amp; Readmission</t>
        </is>
      </c>
    </row>
    <row r="19" ht="19.5" customHeight="1" s="195">
      <c r="B19" s="203" t="inlineStr">
        <is>
          <t>Q9</t>
        </is>
      </c>
      <c r="C19" s="204" t="inlineStr">
        <is>
          <t>Medications Prescribed vs Length of Stay</t>
        </is>
      </c>
    </row>
    <row r="20" ht="19.5" customHeight="1" s="195">
      <c r="B20" s="205" t="inlineStr">
        <is>
          <t>Q10</t>
        </is>
      </c>
      <c r="C20" s="206" t="inlineStr">
        <is>
          <t>Outpatient Visits vs Readmission Rates</t>
        </is>
      </c>
    </row>
    <row r="21" ht="12" customHeight="1" s="195"/>
    <row r="22" ht="25.5" customHeight="1" s="195">
      <c r="B22" s="202" t="inlineStr">
        <is>
          <t>CONTENTS — SECTION B: INTERMEDIATE ANALYSIS (MQ1–MQ7)</t>
        </is>
      </c>
    </row>
    <row r="23" ht="19.5" customHeight="1" s="195">
      <c r="B23" s="207" t="inlineStr">
        <is>
          <t>MQ1</t>
        </is>
      </c>
      <c r="C23" s="208" t="inlineStr">
        <is>
          <t>Comorbidity Analysis — Multi-Diagnosis Impact on LOS &amp; Readmission</t>
        </is>
      </c>
    </row>
    <row r="24" ht="19.5" customHeight="1" s="195">
      <c r="B24" s="209" t="inlineStr">
        <is>
          <t>MQ2</t>
        </is>
      </c>
      <c r="C24" s="210" t="inlineStr">
        <is>
          <t>Demographic Disparities in Medical Interventions</t>
        </is>
      </c>
    </row>
    <row r="25" ht="19.5" customHeight="1" s="195">
      <c r="B25" s="207" t="inlineStr">
        <is>
          <t>MQ3</t>
        </is>
      </c>
      <c r="C25" s="208" t="inlineStr">
        <is>
          <t>Visit Patterns by Primary Diagnosis</t>
        </is>
      </c>
    </row>
    <row r="26" ht="19.5" customHeight="1" s="195">
      <c r="B26" s="209" t="inlineStr">
        <is>
          <t>MQ4</t>
        </is>
      </c>
      <c r="C26" s="210" t="inlineStr">
        <is>
          <t>Specialty Prescribing Patterns &amp; Readmission Impact</t>
        </is>
      </c>
    </row>
    <row r="27" ht="19.5" customHeight="1" s="195">
      <c r="B27" s="207" t="inlineStr">
        <is>
          <t>MQ5</t>
        </is>
      </c>
      <c r="C27" s="208" t="inlineStr">
        <is>
          <t>Diabetic Medication Effectiveness on Readmission</t>
        </is>
      </c>
    </row>
    <row r="28" ht="19.5" customHeight="1" s="195">
      <c r="B28" s="209" t="inlineStr">
        <is>
          <t>MQ6</t>
        </is>
      </c>
      <c r="C28" s="210" t="inlineStr">
        <is>
          <t>Cross-Analysis: Race × Age Readmission Heatmap</t>
        </is>
      </c>
    </row>
    <row r="29" ht="19.5" customHeight="1" s="195">
      <c r="B29" s="207" t="inlineStr">
        <is>
          <t>MQ7</t>
        </is>
      </c>
      <c r="C29" s="208" t="inlineStr">
        <is>
          <t>Integrated Risk Profile — Combining Key Factors</t>
        </is>
      </c>
    </row>
    <row r="31" ht="25.5" customHeight="1" s="195">
      <c r="B31" s="211" t="inlineStr">
        <is>
          <t>CONTENTS — SECTION C: ADVANCED ANALYSIS (AQ1–AQ5)</t>
        </is>
      </c>
    </row>
    <row r="32" ht="19.5" customHeight="1" s="195">
      <c r="B32" s="212" t="inlineStr">
        <is>
          <t>AQ1</t>
        </is>
      </c>
      <c r="C32" s="213" t="inlineStr">
        <is>
          <t>Predictive Risk Model — Logistic Regression (AUC=0.652)</t>
        </is>
      </c>
    </row>
    <row r="33" ht="19.5" customHeight="1" s="195">
      <c r="B33" s="214" t="inlineStr">
        <is>
          <t>AQ2</t>
        </is>
      </c>
      <c r="C33" s="215" t="inlineStr">
        <is>
          <t>Patient Segmentation — K-Means Clustering (4 Segments)</t>
        </is>
      </c>
    </row>
    <row r="34" ht="19.5" customHeight="1" s="195">
      <c r="B34" s="212" t="inlineStr">
        <is>
          <t>AQ3</t>
        </is>
      </c>
      <c r="C34" s="213" t="inlineStr">
        <is>
          <t>Financial Impact Analysis — Total, Avoidable &amp; Segment Costs</t>
        </is>
      </c>
    </row>
  </sheetData>
  <mergeCells count="6">
    <mergeCell ref="B2:C2"/>
    <mergeCell ref="B3:C3"/>
    <mergeCell ref="B10:C10"/>
    <mergeCell ref="B22:C22"/>
    <mergeCell ref="B31:C31"/>
    <mergeCell ref="B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H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94" min="1" max="1"/>
    <col width="80" customWidth="1" style="194" min="2" max="2"/>
    <col width="25" customWidth="1" style="194" min="3" max="4"/>
    <col width="41" customWidth="1" style="195" min="4" max="4"/>
    <col width="8" customWidth="1" style="194" min="5" max="5"/>
    <col width="80" customWidth="1" style="194" min="6" max="6"/>
    <col width="8" customWidth="1" style="194" min="7" max="8"/>
    <col width="8" customWidth="1" style="195" min="8" max="8"/>
  </cols>
  <sheetData>
    <row r="1" ht="45" customHeight="1" s="195">
      <c r="B1" s="216" t="inlineStr">
        <is>
          <t>EXECUTIVE SUMMARY — KEY FINDINGS</t>
        </is>
      </c>
    </row>
    <row r="2" ht="21.75" customHeight="1" s="195">
      <c r="B2" s="217" t="inlineStr">
        <is>
          <t>Dataset: 66,587 Encounters  |  Readmission Rate: 46.2%  |  Analyst: Ronak Sagar</t>
        </is>
      </c>
    </row>
    <row r="4" ht="18" customHeight="1" s="195">
      <c r="B4" s="218" t="inlineStr">
        <is>
          <t>Total Patients</t>
        </is>
      </c>
      <c r="F4" s="219" t="inlineStr">
        <is>
          <t>Overall Readmit Rate</t>
        </is>
      </c>
    </row>
    <row r="5" ht="34.5" customHeight="1" s="195">
      <c r="B5" s="220" t="inlineStr">
        <is>
          <t>66,587</t>
        </is>
      </c>
      <c r="F5" s="221" t="inlineStr">
        <is>
          <t>46.2%</t>
        </is>
      </c>
    </row>
    <row r="6" ht="15.75" customHeight="1" s="195">
      <c r="B6" s="222" t="inlineStr">
        <is>
          <t>Full Dataset</t>
        </is>
      </c>
      <c r="F6" s="223" t="inlineStr">
        <is>
          <t>30-Day Readmissions</t>
        </is>
      </c>
    </row>
    <row r="8" ht="18" customHeight="1" s="195">
      <c r="B8" s="224" t="inlineStr">
        <is>
          <t>Readmitted Count</t>
        </is>
      </c>
      <c r="F8" s="225" t="inlineStr">
        <is>
          <t>Not Readmitted</t>
        </is>
      </c>
    </row>
    <row r="9" ht="34.5" customHeight="1" s="195">
      <c r="B9" s="226" t="inlineStr">
        <is>
          <t>30,764</t>
        </is>
      </c>
      <c r="F9" s="227" t="inlineStr">
        <is>
          <t>35,823</t>
        </is>
      </c>
    </row>
    <row r="10" ht="15.75" customHeight="1" s="195">
      <c r="B10" s="228" t="inlineStr">
        <is>
          <t>Patients Readmitted</t>
        </is>
      </c>
      <c r="F10" s="229" t="inlineStr">
        <is>
          <t>Successful Discharges</t>
        </is>
      </c>
    </row>
    <row r="12" ht="18" customHeight="1" s="195">
      <c r="B12" s="218" t="inlineStr">
        <is>
          <t>Peak Age Group</t>
        </is>
      </c>
      <c r="F12" s="219" t="inlineStr">
        <is>
          <t>Highest Risk Specialty</t>
        </is>
      </c>
    </row>
    <row r="13" ht="34.5" customHeight="1" s="195">
      <c r="B13" s="220" t="inlineStr">
        <is>
          <t>80-90 yrs</t>
        </is>
      </c>
      <c r="F13" s="221" t="inlineStr">
        <is>
          <t>Nephrology</t>
        </is>
      </c>
    </row>
    <row r="14" ht="15.75" customHeight="1" s="195">
      <c r="B14" s="222" t="inlineStr">
        <is>
          <t>Highest Rate: 48.3% ([80-90)); [70-80) close at 48.0%</t>
        </is>
      </c>
      <c r="F14" s="223" t="inlineStr">
        <is>
          <t>Readmit Rate: 55.1%</t>
        </is>
      </c>
    </row>
    <row r="16" ht="18" customHeight="1" s="195">
      <c r="B16" s="224" t="inlineStr">
        <is>
          <t>Strongest Correlation</t>
        </is>
      </c>
      <c r="F16" s="230" t="inlineStr">
        <is>
          <t>Data Quality Note</t>
        </is>
      </c>
    </row>
    <row r="17" ht="34.5" customHeight="1" s="195">
      <c r="B17" s="226" t="inlineStr">
        <is>
          <t>Medications↔LOS</t>
        </is>
      </c>
      <c r="F17" s="231" t="inlineStr">
        <is>
          <t>Weight: 96.8%</t>
        </is>
      </c>
    </row>
    <row r="18" ht="15.75" customHeight="1" s="195">
      <c r="B18" s="228" t="inlineStr">
        <is>
          <t>r = 0.466</t>
        </is>
      </c>
      <c r="F18" s="232" t="inlineStr">
        <is>
          <t>Missing (96.8%)</t>
        </is>
      </c>
    </row>
    <row r="20" ht="9.75" customHeight="1" s="195"/>
    <row r="21" ht="25.5" customHeight="1" s="195">
      <c r="B21" s="233" t="inlineStr">
        <is>
          <t>TOP FINDINGS AT A GLANCE</t>
        </is>
      </c>
    </row>
    <row r="22" ht="19.5" customHeight="1" s="195">
      <c r="B22" s="234" t="inlineStr">
        <is>
          <t>Q#</t>
        </is>
      </c>
      <c r="C22" s="234" t="inlineStr">
        <is>
          <t>Analysis</t>
        </is>
      </c>
      <c r="D22" s="234" t="inlineStr">
        <is>
          <t>Key Metric</t>
        </is>
      </c>
      <c r="F22" s="234" t="inlineStr">
        <is>
          <t>Finding</t>
        </is>
      </c>
      <c r="G22" s="234" t="n"/>
      <c r="H22" s="234" t="n"/>
    </row>
    <row r="23" ht="27.75" customHeight="1" s="195">
      <c r="B23" s="234" t="inlineStr">
        <is>
          <t>Q1</t>
        </is>
      </c>
      <c r="C23" s="235" t="inlineStr">
        <is>
          <t>Age vs Readmission</t>
        </is>
      </c>
      <c r="D23" s="235" t="inlineStr">
        <is>
          <t>48.3% at 80-90</t>
        </is>
      </c>
      <c r="F23" s="236" t="inlineStr">
        <is>
          <t>Elderly patients are at highest risk</t>
        </is>
      </c>
      <c r="G23" s="236" t="n"/>
    </row>
    <row r="24" ht="27.75" customHeight="1" s="195">
      <c r="B24" s="234" t="inlineStr">
        <is>
          <t>Q2</t>
        </is>
      </c>
      <c r="C24" s="237" t="inlineStr">
        <is>
          <t>Specialty LOS</t>
        </is>
      </c>
      <c r="D24" s="237" t="inlineStr">
        <is>
          <t>8.9 days (Rehab)</t>
        </is>
      </c>
      <c r="F24" s="238" t="inlineStr">
        <is>
          <t>Rehab &amp; Psychiatry drive long stays (among ≥50-patient specialties; Pediatrics-Pulmonology excluded: n=16, 10.7d avg)</t>
        </is>
      </c>
      <c r="G24" s="238" t="n"/>
    </row>
    <row r="25" ht="27.75" customHeight="1" s="195">
      <c r="B25" s="234" t="inlineStr">
        <is>
          <t>Q3</t>
        </is>
      </c>
      <c r="C25" s="235" t="inlineStr">
        <is>
          <t>Emergency Visits</t>
        </is>
      </c>
      <c r="D25" s="235" t="inlineStr">
        <is>
          <t>r = 0.108</t>
        </is>
      </c>
      <c r="F25" s="236" t="inlineStr">
        <is>
          <t>Weak correlation; 3+ visits = 78.8%+ risk</t>
        </is>
      </c>
      <c r="G25" s="236" t="n"/>
    </row>
    <row r="26" ht="27.75" customHeight="1" s="195">
      <c r="B26" s="234" t="inlineStr">
        <is>
          <t>Q4</t>
        </is>
      </c>
      <c r="C26" s="237" t="inlineStr">
        <is>
          <t>Diabetes &amp; Meds</t>
        </is>
      </c>
      <c r="D26" s="237" t="inlineStr">
        <is>
          <t>47.96% vs 40.3%</t>
        </is>
      </c>
      <c r="F26" s="238" t="inlineStr">
        <is>
          <t>Diabetic med patients readmit 7.6pp more</t>
        </is>
      </c>
      <c r="G26" s="238" t="n"/>
    </row>
    <row r="27" ht="27.75" customHeight="1" s="195">
      <c r="B27" s="234" t="inlineStr">
        <is>
          <t>Q5</t>
        </is>
      </c>
      <c r="C27" s="235" t="inlineStr">
        <is>
          <t>Medication Change</t>
        </is>
      </c>
      <c r="D27" s="235" t="inlineStr">
        <is>
          <t>48.6% vs 44.1%</t>
        </is>
      </c>
      <c r="F27" s="236" t="inlineStr">
        <is>
          <t>Med changes correlate with higher readmit</t>
        </is>
      </c>
      <c r="G27" s="236" t="n"/>
    </row>
    <row r="28" ht="27.75" customHeight="1" s="195">
      <c r="B28" s="234" t="inlineStr">
        <is>
          <t>Q6</t>
        </is>
      </c>
      <c r="C28" s="237" t="inlineStr">
        <is>
          <t>Lab Procedures</t>
        </is>
      </c>
      <c r="D28" s="237" t="inlineStr">
        <is>
          <t>r = 0.036</t>
        </is>
      </c>
      <c r="F28" s="238" t="inlineStr">
        <is>
          <t>Very weak relationship with readmission</t>
        </is>
      </c>
      <c r="G28" s="238" t="n"/>
    </row>
    <row r="29" ht="27.75" customHeight="1" s="195">
      <c r="B29" s="234" t="inlineStr">
        <is>
          <t>Q7</t>
        </is>
      </c>
      <c r="C29" s="235" t="inlineStr">
        <is>
          <t>Race &amp; Gender</t>
        </is>
      </c>
      <c r="D29" s="235" t="inlineStr">
        <is>
          <t>Caucasian: 47.0%</t>
        </is>
      </c>
      <c r="F29" s="236" t="inlineStr">
        <is>
          <t>Minor disparities; gender gap is narrow</t>
        </is>
      </c>
      <c r="G29" s="236" t="n"/>
    </row>
    <row r="30" ht="27.75" customHeight="1" s="195">
      <c r="B30" s="234" t="inlineStr">
        <is>
          <t>Q8</t>
        </is>
      </c>
      <c r="C30" s="237" t="inlineStr">
        <is>
          <t>Weight Data</t>
        </is>
      </c>
      <c r="D30" s="237" t="inlineStr">
        <is>
          <t>96.8% missing</t>
        </is>
      </c>
      <c r="F30" s="238" t="inlineStr">
        <is>
          <t>Insufficient data for conclusions</t>
        </is>
      </c>
      <c r="G30" s="238" t="n"/>
    </row>
    <row r="31" ht="27.75" customHeight="1" s="195">
      <c r="B31" s="234" t="inlineStr">
        <is>
          <t>Q9</t>
        </is>
      </c>
      <c r="C31" s="235" t="inlineStr">
        <is>
          <t>Medications vs LOS</t>
        </is>
      </c>
      <c r="D31" s="235" t="inlineStr">
        <is>
          <t>r = 0.466</t>
        </is>
      </c>
      <c r="F31" s="236" t="inlineStr">
        <is>
          <t>Strongest correlation — polypharmacy risk</t>
        </is>
      </c>
      <c r="G31" s="236" t="n"/>
    </row>
    <row r="32" ht="27.75" customHeight="1" s="195">
      <c r="B32" s="234" t="inlineStr">
        <is>
          <t>Q10</t>
        </is>
      </c>
      <c r="C32" s="237" t="inlineStr">
        <is>
          <t>Outpatient Visits</t>
        </is>
      </c>
      <c r="D32" s="237" t="inlineStr">
        <is>
          <t>r=0.082 (outpatient); 0.217 (inpatient)</t>
        </is>
      </c>
      <c r="F32" s="238" t="inlineStr">
        <is>
          <t>Outpatient correlation is weak (r=0.082); prior inpatient visits are the stronger predictor (r=0.217)</t>
        </is>
      </c>
      <c r="G32" s="238" t="n"/>
    </row>
    <row r="34" ht="27.75" customHeight="1" s="195">
      <c r="B34" s="233" t="inlineStr">
        <is>
          <t>INTERMEDIATE ANALYSIS FINDINGS (MQ1–MQ7)</t>
        </is>
      </c>
    </row>
    <row r="35" ht="19.5" customHeight="1" s="195">
      <c r="B35" s="239" t="inlineStr">
        <is>
          <t>Q#</t>
        </is>
      </c>
      <c r="C35" s="239" t="inlineStr">
        <is>
          <t>Analysis</t>
        </is>
      </c>
      <c r="D35" s="239" t="inlineStr">
        <is>
          <t>Key Metric</t>
        </is>
      </c>
      <c r="F35" s="239" t="inlineStr">
        <is>
          <t>Finding</t>
        </is>
      </c>
      <c r="G35" s="239" t="n"/>
    </row>
    <row r="36" ht="27.75" customHeight="1" s="195">
      <c r="B36" s="240" t="inlineStr">
        <is>
          <t>MQ1</t>
        </is>
      </c>
      <c r="C36" s="241" t="inlineStr">
        <is>
          <t>Comorbidity Analysis</t>
        </is>
      </c>
      <c r="D36" s="241" t="inlineStr">
        <is>
          <t>49.4% (High comorbid)</t>
        </is>
      </c>
      <c r="F36" s="242" t="inlineStr">
        <is>
          <t>High diagnosis count = higher readmit &amp; LOS</t>
        </is>
      </c>
      <c r="G36" s="242" t="n"/>
    </row>
    <row r="37" ht="27.75" customHeight="1" s="195">
      <c r="B37" s="240" t="inlineStr">
        <is>
          <t>MQ2</t>
        </is>
      </c>
      <c r="C37" s="243" t="inlineStr">
        <is>
          <t>Demographic Disparities</t>
        </is>
      </c>
      <c r="D37" s="243" t="inlineStr">
        <is>
          <t>Caucasian 47.0% highest</t>
        </is>
      </c>
      <c r="F37" s="244" t="inlineStr">
        <is>
          <t>Minor race/gender gaps; treatment intensity varies</t>
        </is>
      </c>
      <c r="G37" s="244" t="n"/>
    </row>
    <row r="38" ht="27.75" customHeight="1" s="195">
      <c r="B38" s="240" t="inlineStr">
        <is>
          <t>MQ3</t>
        </is>
      </c>
      <c r="C38" s="241" t="inlineStr">
        <is>
          <t>Visits by Diagnosis</t>
        </is>
      </c>
      <c r="D38" s="241" t="inlineStr">
        <is>
          <t>Bronchitis: 60.5% readmit</t>
        </is>
      </c>
      <c r="F38" s="242" t="inlineStr">
        <is>
          <t>Chronic conditions drive repeat hospitalizations</t>
        </is>
      </c>
      <c r="G38" s="242" t="n"/>
    </row>
    <row r="39" ht="27.75" customHeight="1" s="195">
      <c r="B39" s="240" t="inlineStr">
        <is>
          <t>MQ4</t>
        </is>
      </c>
      <c r="C39" s="243" t="inlineStr">
        <is>
          <t>Specialty Prescribing</t>
        </is>
      </c>
      <c r="D39" s="243" t="inlineStr">
        <is>
          <t>Nephrology 55.1% readmit</t>
        </is>
      </c>
      <c r="F39" s="244" t="inlineStr">
        <is>
          <t>Readmit driven by disease severity, not Rx volume</t>
        </is>
      </c>
      <c r="G39" s="244" t="n"/>
    </row>
    <row r="40" ht="27.75" customHeight="1" s="195">
      <c r="B40" s="240" t="inlineStr">
        <is>
          <t>MQ5</t>
        </is>
      </c>
      <c r="C40" s="241" t="inlineStr">
        <is>
          <t>Diabetic Meds</t>
        </is>
      </c>
      <c r="D40" s="241" t="inlineStr">
        <is>
          <t>Changed: 48.6% vs 46.9%</t>
        </is>
      </c>
      <c r="F40" s="242" t="inlineStr">
        <is>
          <t>Medication changes = reactive, not preventive signal</t>
        </is>
      </c>
      <c r="G40" s="242" t="n"/>
    </row>
    <row r="41" ht="27.75" customHeight="1" s="195">
      <c r="B41" s="240" t="inlineStr">
        <is>
          <t>MQ6</t>
        </is>
      </c>
      <c r="C41" s="243" t="inlineStr">
        <is>
          <t>Race × Age Heatmap</t>
        </is>
      </c>
      <c r="D41" s="243" t="inlineStr">
        <is>
          <t>Caucasian 80-90: 48.9%</t>
        </is>
      </c>
      <c r="F41" s="244" t="inlineStr">
        <is>
          <t>Elderly Caucasian &amp; working-age African American at risk</t>
        </is>
      </c>
      <c r="G41" s="244" t="n"/>
    </row>
    <row r="42" ht="27.75" customHeight="1" s="195">
      <c r="B42" s="240" t="inlineStr">
        <is>
          <t>MQ7</t>
        </is>
      </c>
      <c r="C42" s="241" t="inlineStr">
        <is>
          <t>Integrated Risk Profile</t>
        </is>
      </c>
      <c r="D42" s="241" t="inlineStr">
        <is>
          <t>Young+Diabetic+PriorInpatient: 69.4%</t>
        </is>
      </c>
      <c r="F42" s="242" t="inlineStr">
        <is>
          <t>Young diabetic patients with prior hospitalization are the #1 highest-risk profile (69.4%) — higher than elderly cohort</t>
        </is>
      </c>
      <c r="G42" s="242" t="n"/>
    </row>
    <row r="44" ht="27.75" customHeight="1" s="195">
      <c r="B44" s="245" t="inlineStr">
        <is>
          <t>ADVANCED ANALYSIS FINDINGS (AQ1–AQ5)</t>
        </is>
      </c>
    </row>
    <row r="45" ht="19.5" customHeight="1" s="195">
      <c r="B45" s="246" t="inlineStr">
        <is>
          <t>Q#</t>
        </is>
      </c>
      <c r="C45" s="246" t="inlineStr">
        <is>
          <t>Analysis</t>
        </is>
      </c>
      <c r="D45" s="246" t="inlineStr">
        <is>
          <t>Key Metric</t>
        </is>
      </c>
      <c r="F45" s="246" t="inlineStr">
        <is>
          <t>Finding</t>
        </is>
      </c>
      <c r="G45" s="246" t="n"/>
    </row>
    <row r="46" ht="27.75" customHeight="1" s="195">
      <c r="B46" s="247" t="inlineStr">
        <is>
          <t>AQ1</t>
        </is>
      </c>
      <c r="C46" s="248" t="inlineStr">
        <is>
          <t>Predictive Model</t>
        </is>
      </c>
      <c r="D46" s="248" t="inlineStr">
        <is>
          <t>AUC = 0.652</t>
        </is>
      </c>
      <c r="F46" s="249" t="inlineStr">
        <is>
          <t>Prior inpatient visit is #1 predictor</t>
        </is>
      </c>
      <c r="G46" s="249" t="n"/>
    </row>
    <row r="47" ht="27.75" customHeight="1" s="195">
      <c r="B47" s="247" t="inlineStr">
        <is>
          <t>AQ2</t>
        </is>
      </c>
      <c r="C47" s="250" t="inlineStr">
        <is>
          <t>Patient Segmentation</t>
        </is>
      </c>
      <c r="D47" s="250" t="inlineStr">
        <is>
          <t>Chronic cluster: 74.8%</t>
        </is>
      </c>
      <c r="F47" s="251" t="inlineStr">
        <is>
          <t>4 segments with distinct care needs</t>
        </is>
      </c>
      <c r="G47" s="251" t="n"/>
    </row>
    <row r="48" ht="27.75" customHeight="1" s="195">
      <c r="B48" s="247" t="inlineStr">
        <is>
          <t>AQ3</t>
        </is>
      </c>
      <c r="C48" s="248" t="inlineStr">
        <is>
          <t>Financial Impact</t>
        </is>
      </c>
      <c r="D48" s="248" t="inlineStr">
        <is>
          <t>$461M total est. cost</t>
        </is>
      </c>
      <c r="F48" s="249" t="inlineStr">
        <is>
          <t>$125M potentially avoidable annually</t>
        </is>
      </c>
      <c r="G48" s="249" t="n"/>
    </row>
  </sheetData>
  <mergeCells count="29">
    <mergeCell ref="B14:D14"/>
    <mergeCell ref="F5:H5"/>
    <mergeCell ref="F18:H18"/>
    <mergeCell ref="B8:D8"/>
    <mergeCell ref="B17:D17"/>
    <mergeCell ref="F8:H8"/>
    <mergeCell ref="B13:D13"/>
    <mergeCell ref="F17:H17"/>
    <mergeCell ref="B10:D10"/>
    <mergeCell ref="F13:H13"/>
    <mergeCell ref="B9:D9"/>
    <mergeCell ref="F9:H9"/>
    <mergeCell ref="B6:D6"/>
    <mergeCell ref="B5:D5"/>
    <mergeCell ref="F14:H14"/>
    <mergeCell ref="B21:H21"/>
    <mergeCell ref="B4:D4"/>
    <mergeCell ref="F4:H4"/>
    <mergeCell ref="B2:H2"/>
    <mergeCell ref="B16:D16"/>
    <mergeCell ref="F10:H10"/>
    <mergeCell ref="F16:H16"/>
    <mergeCell ref="F6:H6"/>
    <mergeCell ref="B1:H1"/>
    <mergeCell ref="B44:H44"/>
    <mergeCell ref="B18:D18"/>
    <mergeCell ref="F12:H12"/>
    <mergeCell ref="B12:D12"/>
    <mergeCell ref="B34:H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2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8" customWidth="1" style="194" min="1" max="1"/>
    <col width="12" customWidth="1" style="194" min="2" max="2"/>
    <col width="17" customWidth="1" style="194" min="3" max="3"/>
    <col width="8" customWidth="1" style="194" min="4" max="4"/>
    <col width="11" customWidth="1" style="194" min="5" max="5"/>
    <col width="18" customWidth="1" style="194" min="6" max="6"/>
    <col width="35" customWidth="1" style="194" min="7" max="7"/>
    <col width="16" customWidth="1" style="194" min="8" max="8"/>
    <col width="12" customWidth="1" style="194" min="9" max="9"/>
    <col width="13" customWidth="1" style="194" min="10" max="10"/>
    <col width="19" customWidth="1" style="194" min="11" max="12"/>
    <col width="18" customWidth="1" style="195" min="12" max="12"/>
    <col width="18" customWidth="1" style="194" min="13" max="14"/>
    <col width="15" customWidth="1" style="195" min="14" max="14"/>
    <col width="12" customWidth="1" style="194" min="15" max="15"/>
    <col width="14" customWidth="1" style="194" min="16" max="16"/>
    <col width="12" customWidth="1" style="194" min="17" max="17"/>
  </cols>
  <sheetData>
    <row r="1" ht="27.75" customHeight="1" s="195">
      <c r="A1" s="233" t="inlineStr">
        <is>
          <t>Raw Data Sample — First 200 Encounters (Full dataset: 66,587 rows)</t>
        </is>
      </c>
    </row>
    <row r="2" ht="21.75" customHeight="1" s="195">
      <c r="A2" s="234" t="inlineStr">
        <is>
          <t>Encounter ID</t>
        </is>
      </c>
      <c r="B2" s="234" t="inlineStr">
        <is>
          <t>Patient ID</t>
        </is>
      </c>
      <c r="C2" s="234" t="inlineStr">
        <is>
          <t>Race</t>
        </is>
      </c>
      <c r="D2" s="234" t="inlineStr">
        <is>
          <t>Gender</t>
        </is>
      </c>
      <c r="E2" s="234" t="inlineStr">
        <is>
          <t>Age Group</t>
        </is>
      </c>
      <c r="F2" s="234" t="inlineStr">
        <is>
          <t>Days in Hospital</t>
        </is>
      </c>
      <c r="G2" s="234" t="inlineStr">
        <is>
          <t>Medical Specialty</t>
        </is>
      </c>
      <c r="H2" s="234" t="inlineStr">
        <is>
          <t>Lab Procedures</t>
        </is>
      </c>
      <c r="I2" s="234" t="inlineStr">
        <is>
          <t>Procedures</t>
        </is>
      </c>
      <c r="J2" s="234" t="inlineStr">
        <is>
          <t>Medications</t>
        </is>
      </c>
      <c r="K2" s="234" t="inlineStr">
        <is>
          <t>Outpatient Visits</t>
        </is>
      </c>
      <c r="L2" s="234" t="inlineStr">
        <is>
          <t>Emergency Visits</t>
        </is>
      </c>
      <c r="M2" s="234" t="inlineStr">
        <is>
          <t>Inpatient Visits</t>
        </is>
      </c>
      <c r="N2" s="234" t="inlineStr">
        <is>
          <t>No. Diagnoses</t>
        </is>
      </c>
      <c r="O2" s="234" t="inlineStr">
        <is>
          <t>Med Change</t>
        </is>
      </c>
      <c r="P2" s="234" t="inlineStr">
        <is>
          <t>Diabetes Med</t>
        </is>
      </c>
      <c r="Q2" s="234" t="inlineStr">
        <is>
          <t>Readmitted</t>
        </is>
      </c>
    </row>
    <row r="3" ht="15" customHeight="1" s="195">
      <c r="A3" s="235" t="n">
        <v>197029140</v>
      </c>
      <c r="B3" s="235" t="n">
        <v>51521940</v>
      </c>
      <c r="C3" s="235" t="inlineStr">
        <is>
          <t>Hispanic</t>
        </is>
      </c>
      <c r="D3" s="235" t="inlineStr">
        <is>
          <t>Male</t>
        </is>
      </c>
      <c r="E3" s="235" t="inlineStr">
        <is>
          <t>[80-90)</t>
        </is>
      </c>
      <c r="F3" s="235" t="n">
        <v>4</v>
      </c>
      <c r="G3" s="235" t="inlineStr">
        <is>
          <t>Emergency/Trauma</t>
        </is>
      </c>
      <c r="H3" s="235" t="n">
        <v>39</v>
      </c>
      <c r="I3" s="235" t="n">
        <v>1</v>
      </c>
      <c r="J3" s="235" t="n">
        <v>9</v>
      </c>
      <c r="K3" s="235" t="n">
        <v>1</v>
      </c>
      <c r="L3" s="235" t="n">
        <v>1</v>
      </c>
      <c r="M3" s="235" t="n">
        <v>4</v>
      </c>
      <c r="N3" s="235" t="n">
        <v>9</v>
      </c>
      <c r="O3" s="235" t="inlineStr">
        <is>
          <t>No</t>
        </is>
      </c>
      <c r="P3" s="235" t="inlineStr">
        <is>
          <t>Yes</t>
        </is>
      </c>
      <c r="Q3" s="252" t="n">
        <v>1</v>
      </c>
    </row>
    <row r="4" ht="15" customHeight="1" s="195">
      <c r="A4" s="237" t="n">
        <v>163571946</v>
      </c>
      <c r="B4" s="237" t="n">
        <v>92631357</v>
      </c>
      <c r="C4" s="237" t="inlineStr">
        <is>
          <t>Caucasian</t>
        </is>
      </c>
      <c r="D4" s="237" t="inlineStr">
        <is>
          <t>Male</t>
        </is>
      </c>
      <c r="E4" s="237" t="inlineStr">
        <is>
          <t>[60-70)</t>
        </is>
      </c>
      <c r="F4" s="237" t="n">
        <v>3</v>
      </c>
      <c r="G4" s="237" t="inlineStr">
        <is>
          <t>Emergency/Trauma</t>
        </is>
      </c>
      <c r="H4" s="237" t="n">
        <v>34</v>
      </c>
      <c r="I4" s="237" t="n">
        <v>1</v>
      </c>
      <c r="J4" s="237" t="n">
        <v>12</v>
      </c>
      <c r="K4" s="237" t="n">
        <v>0</v>
      </c>
      <c r="L4" s="237" t="n">
        <v>0</v>
      </c>
      <c r="M4" s="237" t="n">
        <v>0</v>
      </c>
      <c r="N4" s="237" t="n">
        <v>6</v>
      </c>
      <c r="O4" s="237" t="inlineStr">
        <is>
          <t>No</t>
        </is>
      </c>
      <c r="P4" s="237" t="inlineStr">
        <is>
          <t>No</t>
        </is>
      </c>
      <c r="Q4" s="253" t="n">
        <v>0</v>
      </c>
    </row>
    <row r="5" ht="15" customHeight="1" s="195">
      <c r="A5" s="235" t="n">
        <v>256497366</v>
      </c>
      <c r="B5" s="235" t="n">
        <v>30023982</v>
      </c>
      <c r="C5" s="235" t="inlineStr">
        <is>
          <t>Caucasian</t>
        </is>
      </c>
      <c r="D5" s="235" t="inlineStr">
        <is>
          <t>Female</t>
        </is>
      </c>
      <c r="E5" s="235" t="inlineStr">
        <is>
          <t>[50-60)</t>
        </is>
      </c>
      <c r="F5" s="235" t="n">
        <v>6</v>
      </c>
      <c r="G5" s="235" t="inlineStr">
        <is>
          <t>Nephrology</t>
        </is>
      </c>
      <c r="H5" s="235" t="n">
        <v>50</v>
      </c>
      <c r="I5" s="235" t="n">
        <v>2</v>
      </c>
      <c r="J5" s="235" t="n">
        <v>24</v>
      </c>
      <c r="K5" s="235" t="n">
        <v>0</v>
      </c>
      <c r="L5" s="235" t="n">
        <v>0</v>
      </c>
      <c r="M5" s="235" t="n">
        <v>5</v>
      </c>
      <c r="N5" s="235" t="n">
        <v>9</v>
      </c>
      <c r="O5" s="235" t="inlineStr">
        <is>
          <t>Ch</t>
        </is>
      </c>
      <c r="P5" s="235" t="inlineStr">
        <is>
          <t>Yes</t>
        </is>
      </c>
      <c r="Q5" s="252" t="n">
        <v>1</v>
      </c>
    </row>
    <row r="6" ht="15" customHeight="1" s="195">
      <c r="A6" s="237" t="n">
        <v>289891212</v>
      </c>
      <c r="B6" s="237" t="n">
        <v>93606021</v>
      </c>
      <c r="C6" s="237" t="inlineStr">
        <is>
          <t>AfricanAmerican</t>
        </is>
      </c>
      <c r="D6" s="237" t="inlineStr">
        <is>
          <t>Female</t>
        </is>
      </c>
      <c r="E6" s="237" t="inlineStr">
        <is>
          <t>[70-80)</t>
        </is>
      </c>
      <c r="F6" s="237" t="n">
        <v>5</v>
      </c>
      <c r="G6" s="237" t="inlineStr">
        <is>
          <t>?</t>
        </is>
      </c>
      <c r="H6" s="237" t="n">
        <v>63</v>
      </c>
      <c r="I6" s="237" t="n">
        <v>0</v>
      </c>
      <c r="J6" s="237" t="n">
        <v>14</v>
      </c>
      <c r="K6" s="237" t="n">
        <v>0</v>
      </c>
      <c r="L6" s="237" t="n">
        <v>0</v>
      </c>
      <c r="M6" s="237" t="n">
        <v>0</v>
      </c>
      <c r="N6" s="237" t="n">
        <v>7</v>
      </c>
      <c r="O6" s="237" t="inlineStr">
        <is>
          <t>Ch</t>
        </is>
      </c>
      <c r="P6" s="237" t="inlineStr">
        <is>
          <t>Yes</t>
        </is>
      </c>
      <c r="Q6" s="252" t="n">
        <v>1</v>
      </c>
    </row>
    <row r="7" ht="15" customHeight="1" s="195">
      <c r="A7" s="235" t="n">
        <v>81873900</v>
      </c>
      <c r="B7" s="235" t="n">
        <v>23464296</v>
      </c>
      <c r="C7" s="235" t="inlineStr">
        <is>
          <t>Caucasian</t>
        </is>
      </c>
      <c r="D7" s="235" t="inlineStr">
        <is>
          <t>Male</t>
        </is>
      </c>
      <c r="E7" s="235" t="inlineStr">
        <is>
          <t>[70-80)</t>
        </is>
      </c>
      <c r="F7" s="235" t="n">
        <v>9</v>
      </c>
      <c r="G7" s="235" t="inlineStr">
        <is>
          <t>Psychiatry</t>
        </is>
      </c>
      <c r="H7" s="235" t="n">
        <v>17</v>
      </c>
      <c r="I7" s="235" t="n">
        <v>1</v>
      </c>
      <c r="J7" s="235" t="n">
        <v>11</v>
      </c>
      <c r="K7" s="235" t="n">
        <v>0</v>
      </c>
      <c r="L7" s="235" t="n">
        <v>0</v>
      </c>
      <c r="M7" s="235" t="n">
        <v>0</v>
      </c>
      <c r="N7" s="235" t="n">
        <v>9</v>
      </c>
      <c r="O7" s="235" t="inlineStr">
        <is>
          <t>No</t>
        </is>
      </c>
      <c r="P7" s="235" t="inlineStr">
        <is>
          <t>No</t>
        </is>
      </c>
      <c r="Q7" s="252" t="n">
        <v>1</v>
      </c>
    </row>
    <row r="8" ht="15" customHeight="1" s="195">
      <c r="A8" s="237" t="n">
        <v>48391902</v>
      </c>
      <c r="B8" s="237" t="n">
        <v>29635362</v>
      </c>
      <c r="C8" s="237" t="inlineStr">
        <is>
          <t>AfricanAmerican</t>
        </is>
      </c>
      <c r="D8" s="237" t="inlineStr">
        <is>
          <t>Male</t>
        </is>
      </c>
      <c r="E8" s="237" t="inlineStr">
        <is>
          <t>[40-50)</t>
        </is>
      </c>
      <c r="F8" s="237" t="n">
        <v>3</v>
      </c>
      <c r="G8" s="237" t="inlineStr">
        <is>
          <t>?</t>
        </is>
      </c>
      <c r="H8" s="237" t="n">
        <v>43</v>
      </c>
      <c r="I8" s="237" t="n">
        <v>3</v>
      </c>
      <c r="J8" s="237" t="n">
        <v>13</v>
      </c>
      <c r="K8" s="237" t="n">
        <v>0</v>
      </c>
      <c r="L8" s="237" t="n">
        <v>0</v>
      </c>
      <c r="M8" s="237" t="n">
        <v>0</v>
      </c>
      <c r="N8" s="237" t="n">
        <v>5</v>
      </c>
      <c r="O8" s="237" t="inlineStr">
        <is>
          <t>Ch</t>
        </is>
      </c>
      <c r="P8" s="237" t="inlineStr">
        <is>
          <t>Yes</t>
        </is>
      </c>
      <c r="Q8" s="253" t="n">
        <v>0</v>
      </c>
    </row>
    <row r="9" ht="15" customHeight="1" s="195">
      <c r="A9" s="235" t="n">
        <v>130669056</v>
      </c>
      <c r="B9" s="235" t="n">
        <v>35476317</v>
      </c>
      <c r="C9" s="235" t="inlineStr">
        <is>
          <t>Caucasian</t>
        </is>
      </c>
      <c r="D9" s="235" t="inlineStr">
        <is>
          <t>Male</t>
        </is>
      </c>
      <c r="E9" s="235" t="inlineStr">
        <is>
          <t>[70-80)</t>
        </is>
      </c>
      <c r="F9" s="235" t="n">
        <v>9</v>
      </c>
      <c r="G9" s="235" t="inlineStr">
        <is>
          <t>?</t>
        </is>
      </c>
      <c r="H9" s="235" t="n">
        <v>1</v>
      </c>
      <c r="I9" s="235" t="n">
        <v>4</v>
      </c>
      <c r="J9" s="235" t="n">
        <v>14</v>
      </c>
      <c r="K9" s="235" t="n">
        <v>0</v>
      </c>
      <c r="L9" s="235" t="n">
        <v>0</v>
      </c>
      <c r="M9" s="235" t="n">
        <v>0</v>
      </c>
      <c r="N9" s="235" t="n">
        <v>7</v>
      </c>
      <c r="O9" s="235" t="inlineStr">
        <is>
          <t>No</t>
        </is>
      </c>
      <c r="P9" s="235" t="inlineStr">
        <is>
          <t>No</t>
        </is>
      </c>
      <c r="Q9" s="253" t="n">
        <v>0</v>
      </c>
    </row>
    <row r="10" ht="15" customHeight="1" s="195">
      <c r="A10" s="237" t="n">
        <v>313193054</v>
      </c>
      <c r="B10" s="237" t="n">
        <v>171347630</v>
      </c>
      <c r="C10" s="237" t="inlineStr">
        <is>
          <t>Caucasian</t>
        </is>
      </c>
      <c r="D10" s="237" t="inlineStr">
        <is>
          <t>Female</t>
        </is>
      </c>
      <c r="E10" s="237" t="inlineStr">
        <is>
          <t>[40-50)</t>
        </is>
      </c>
      <c r="F10" s="237" t="n">
        <v>4</v>
      </c>
      <c r="G10" s="237" t="inlineStr">
        <is>
          <t>?</t>
        </is>
      </c>
      <c r="H10" s="237" t="n">
        <v>15</v>
      </c>
      <c r="I10" s="237" t="n">
        <v>3</v>
      </c>
      <c r="J10" s="237" t="n">
        <v>17</v>
      </c>
      <c r="K10" s="237" t="n">
        <v>0</v>
      </c>
      <c r="L10" s="237" t="n">
        <v>0</v>
      </c>
      <c r="M10" s="237" t="n">
        <v>0</v>
      </c>
      <c r="N10" s="237" t="n">
        <v>6</v>
      </c>
      <c r="O10" s="237" t="inlineStr">
        <is>
          <t>No</t>
        </is>
      </c>
      <c r="P10" s="237" t="inlineStr">
        <is>
          <t>No</t>
        </is>
      </c>
      <c r="Q10" s="253" t="n">
        <v>0</v>
      </c>
    </row>
    <row r="11" ht="15" customHeight="1" s="195">
      <c r="A11" s="235" t="n">
        <v>88645302</v>
      </c>
      <c r="B11" s="235" t="n">
        <v>20811105</v>
      </c>
      <c r="C11" s="235" t="inlineStr">
        <is>
          <t>Caucasian</t>
        </is>
      </c>
      <c r="D11" s="235" t="inlineStr">
        <is>
          <t>Female</t>
        </is>
      </c>
      <c r="E11" s="235" t="inlineStr">
        <is>
          <t>[70-80)</t>
        </is>
      </c>
      <c r="F11" s="235" t="n">
        <v>13</v>
      </c>
      <c r="G11" s="235" t="inlineStr">
        <is>
          <t>Family/GeneralPractice</t>
        </is>
      </c>
      <c r="H11" s="235" t="n">
        <v>70</v>
      </c>
      <c r="I11" s="235" t="n">
        <v>5</v>
      </c>
      <c r="J11" s="235" t="n">
        <v>32</v>
      </c>
      <c r="K11" s="235" t="n">
        <v>0</v>
      </c>
      <c r="L11" s="235" t="n">
        <v>0</v>
      </c>
      <c r="M11" s="235" t="n">
        <v>0</v>
      </c>
      <c r="N11" s="235" t="n">
        <v>9</v>
      </c>
      <c r="O11" s="235" t="inlineStr">
        <is>
          <t>No</t>
        </is>
      </c>
      <c r="P11" s="235" t="inlineStr">
        <is>
          <t>Yes</t>
        </is>
      </c>
      <c r="Q11" s="253" t="n">
        <v>0</v>
      </c>
    </row>
    <row r="12" ht="15" customHeight="1" s="195">
      <c r="A12" s="237" t="n">
        <v>369018230</v>
      </c>
      <c r="B12" s="237" t="n">
        <v>115650671</v>
      </c>
      <c r="C12" s="237" t="inlineStr">
        <is>
          <t>Caucasian</t>
        </is>
      </c>
      <c r="D12" s="237" t="inlineStr">
        <is>
          <t>Male</t>
        </is>
      </c>
      <c r="E12" s="237" t="inlineStr">
        <is>
          <t>[70-80)</t>
        </is>
      </c>
      <c r="F12" s="237" t="n">
        <v>3</v>
      </c>
      <c r="G12" s="237" t="inlineStr">
        <is>
          <t>InternalMedicine</t>
        </is>
      </c>
      <c r="H12" s="237" t="n">
        <v>63</v>
      </c>
      <c r="I12" s="237" t="n">
        <v>6</v>
      </c>
      <c r="J12" s="237" t="n">
        <v>28</v>
      </c>
      <c r="K12" s="237" t="n">
        <v>0</v>
      </c>
      <c r="L12" s="237" t="n">
        <v>0</v>
      </c>
      <c r="M12" s="237" t="n">
        <v>0</v>
      </c>
      <c r="N12" s="237" t="n">
        <v>9</v>
      </c>
      <c r="O12" s="237" t="inlineStr">
        <is>
          <t>No</t>
        </is>
      </c>
      <c r="P12" s="237" t="inlineStr">
        <is>
          <t>No</t>
        </is>
      </c>
      <c r="Q12" s="253" t="n">
        <v>0</v>
      </c>
    </row>
    <row r="13" ht="15" customHeight="1" s="195">
      <c r="A13" s="235" t="n">
        <v>163396290</v>
      </c>
      <c r="B13" s="235" t="n">
        <v>47114100</v>
      </c>
      <c r="C13" s="235" t="inlineStr">
        <is>
          <t>Caucasian</t>
        </is>
      </c>
      <c r="D13" s="235" t="inlineStr">
        <is>
          <t>Female</t>
        </is>
      </c>
      <c r="E13" s="235" t="inlineStr">
        <is>
          <t>[80-90)</t>
        </is>
      </c>
      <c r="F13" s="235" t="n">
        <v>6</v>
      </c>
      <c r="G13" s="235" t="inlineStr">
        <is>
          <t>?</t>
        </is>
      </c>
      <c r="H13" s="235" t="n">
        <v>64</v>
      </c>
      <c r="I13" s="235" t="n">
        <v>0</v>
      </c>
      <c r="J13" s="235" t="n">
        <v>17</v>
      </c>
      <c r="K13" s="235" t="n">
        <v>1</v>
      </c>
      <c r="L13" s="235" t="n">
        <v>0</v>
      </c>
      <c r="M13" s="235" t="n">
        <v>0</v>
      </c>
      <c r="N13" s="235" t="n">
        <v>9</v>
      </c>
      <c r="O13" s="235" t="inlineStr">
        <is>
          <t>Ch</t>
        </is>
      </c>
      <c r="P13" s="235" t="inlineStr">
        <is>
          <t>Yes</t>
        </is>
      </c>
      <c r="Q13" s="252" t="n">
        <v>1</v>
      </c>
    </row>
    <row r="14" ht="15" customHeight="1" s="195">
      <c r="A14" s="237" t="n">
        <v>269674512</v>
      </c>
      <c r="B14" s="237" t="n">
        <v>47351529</v>
      </c>
      <c r="C14" s="237" t="inlineStr">
        <is>
          <t>Caucasian</t>
        </is>
      </c>
      <c r="D14" s="237" t="inlineStr">
        <is>
          <t>Male</t>
        </is>
      </c>
      <c r="E14" s="237" t="inlineStr">
        <is>
          <t>[50-60)</t>
        </is>
      </c>
      <c r="F14" s="237" t="n">
        <v>2</v>
      </c>
      <c r="G14" s="237" t="inlineStr">
        <is>
          <t>?</t>
        </is>
      </c>
      <c r="H14" s="237" t="n">
        <v>45</v>
      </c>
      <c r="I14" s="237" t="n">
        <v>3</v>
      </c>
      <c r="J14" s="237" t="n">
        <v>11</v>
      </c>
      <c r="K14" s="237" t="n">
        <v>0</v>
      </c>
      <c r="L14" s="237" t="n">
        <v>0</v>
      </c>
      <c r="M14" s="237" t="n">
        <v>0</v>
      </c>
      <c r="N14" s="237" t="n">
        <v>9</v>
      </c>
      <c r="O14" s="237" t="inlineStr">
        <is>
          <t>No</t>
        </is>
      </c>
      <c r="P14" s="237" t="inlineStr">
        <is>
          <t>Yes</t>
        </is>
      </c>
      <c r="Q14" s="252" t="n">
        <v>1</v>
      </c>
    </row>
    <row r="15" ht="15" customHeight="1" s="195">
      <c r="A15" s="235" t="n">
        <v>85859826</v>
      </c>
      <c r="B15" s="235" t="n">
        <v>90467901</v>
      </c>
      <c r="C15" s="235" t="inlineStr">
        <is>
          <t>Caucasian</t>
        </is>
      </c>
      <c r="D15" s="235" t="inlineStr">
        <is>
          <t>Female</t>
        </is>
      </c>
      <c r="E15" s="235" t="inlineStr">
        <is>
          <t>[70-80)</t>
        </is>
      </c>
      <c r="F15" s="235" t="n">
        <v>4</v>
      </c>
      <c r="G15" s="235" t="inlineStr">
        <is>
          <t>ObstetricsandGynecology</t>
        </is>
      </c>
      <c r="H15" s="235" t="n">
        <v>38</v>
      </c>
      <c r="I15" s="235" t="n">
        <v>4</v>
      </c>
      <c r="J15" s="235" t="n">
        <v>13</v>
      </c>
      <c r="K15" s="235" t="n">
        <v>0</v>
      </c>
      <c r="L15" s="235" t="n">
        <v>0</v>
      </c>
      <c r="M15" s="235" t="n">
        <v>0</v>
      </c>
      <c r="N15" s="235" t="n">
        <v>9</v>
      </c>
      <c r="O15" s="235" t="inlineStr">
        <is>
          <t>Ch</t>
        </is>
      </c>
      <c r="P15" s="235" t="inlineStr">
        <is>
          <t>Yes</t>
        </is>
      </c>
      <c r="Q15" s="253" t="n">
        <v>0</v>
      </c>
    </row>
    <row r="16" ht="15" customHeight="1" s="195">
      <c r="A16" s="237" t="n">
        <v>227488932</v>
      </c>
      <c r="B16" s="237" t="n">
        <v>41133438</v>
      </c>
      <c r="C16" s="237" t="inlineStr">
        <is>
          <t>Caucasian</t>
        </is>
      </c>
      <c r="D16" s="237" t="inlineStr">
        <is>
          <t>Male</t>
        </is>
      </c>
      <c r="E16" s="237" t="inlineStr">
        <is>
          <t>[80-90)</t>
        </is>
      </c>
      <c r="F16" s="237" t="n">
        <v>7</v>
      </c>
      <c r="G16" s="237" t="inlineStr">
        <is>
          <t>Cardiology</t>
        </is>
      </c>
      <c r="H16" s="237" t="n">
        <v>57</v>
      </c>
      <c r="I16" s="237" t="n">
        <v>6</v>
      </c>
      <c r="J16" s="237" t="n">
        <v>38</v>
      </c>
      <c r="K16" s="237" t="n">
        <v>0</v>
      </c>
      <c r="L16" s="237" t="n">
        <v>0</v>
      </c>
      <c r="M16" s="237" t="n">
        <v>1</v>
      </c>
      <c r="N16" s="237" t="n">
        <v>4</v>
      </c>
      <c r="O16" s="237" t="inlineStr">
        <is>
          <t>No</t>
        </is>
      </c>
      <c r="P16" s="237" t="inlineStr">
        <is>
          <t>No</t>
        </is>
      </c>
      <c r="Q16" s="252" t="n">
        <v>1</v>
      </c>
    </row>
    <row r="17" ht="15" customHeight="1" s="195">
      <c r="A17" s="235" t="n">
        <v>80215338</v>
      </c>
      <c r="B17" s="235" t="n">
        <v>4277358</v>
      </c>
      <c r="C17" s="235" t="inlineStr">
        <is>
          <t>AfricanAmerican</t>
        </is>
      </c>
      <c r="D17" s="235" t="inlineStr">
        <is>
          <t>Male</t>
        </is>
      </c>
      <c r="E17" s="235" t="inlineStr">
        <is>
          <t>[80-90)</t>
        </is>
      </c>
      <c r="F17" s="235" t="n">
        <v>4</v>
      </c>
      <c r="G17" s="235" t="inlineStr">
        <is>
          <t>InternalMedicine</t>
        </is>
      </c>
      <c r="H17" s="235" t="n">
        <v>52</v>
      </c>
      <c r="I17" s="235" t="n">
        <v>0</v>
      </c>
      <c r="J17" s="235" t="n">
        <v>18</v>
      </c>
      <c r="K17" s="235" t="n">
        <v>0</v>
      </c>
      <c r="L17" s="235" t="n">
        <v>0</v>
      </c>
      <c r="M17" s="235" t="n">
        <v>0</v>
      </c>
      <c r="N17" s="235" t="n">
        <v>7</v>
      </c>
      <c r="O17" s="235" t="inlineStr">
        <is>
          <t>No</t>
        </is>
      </c>
      <c r="P17" s="235" t="inlineStr">
        <is>
          <t>Yes</t>
        </is>
      </c>
      <c r="Q17" s="253" t="n">
        <v>0</v>
      </c>
    </row>
    <row r="18" ht="15" customHeight="1" s="195">
      <c r="A18" s="237" t="n">
        <v>61205208</v>
      </c>
      <c r="B18" s="237" t="n">
        <v>11680191</v>
      </c>
      <c r="C18" s="237" t="inlineStr">
        <is>
          <t>Caucasian</t>
        </is>
      </c>
      <c r="D18" s="237" t="inlineStr">
        <is>
          <t>Male</t>
        </is>
      </c>
      <c r="E18" s="237" t="inlineStr">
        <is>
          <t>[60-70)</t>
        </is>
      </c>
      <c r="F18" s="237" t="n">
        <v>7</v>
      </c>
      <c r="G18" s="237" t="inlineStr">
        <is>
          <t>?</t>
        </is>
      </c>
      <c r="H18" s="237" t="n">
        <v>39</v>
      </c>
      <c r="I18" s="237" t="n">
        <v>3</v>
      </c>
      <c r="J18" s="237" t="n">
        <v>19</v>
      </c>
      <c r="K18" s="237" t="n">
        <v>0</v>
      </c>
      <c r="L18" s="237" t="n">
        <v>0</v>
      </c>
      <c r="M18" s="237" t="n">
        <v>0</v>
      </c>
      <c r="N18" s="237" t="n">
        <v>9</v>
      </c>
      <c r="O18" s="237" t="inlineStr">
        <is>
          <t>Ch</t>
        </is>
      </c>
      <c r="P18" s="237" t="inlineStr">
        <is>
          <t>Yes</t>
        </is>
      </c>
      <c r="Q18" s="252" t="n">
        <v>1</v>
      </c>
    </row>
    <row r="19" ht="15" customHeight="1" s="195">
      <c r="A19" s="235" t="n">
        <v>166025106</v>
      </c>
      <c r="B19" s="235" t="n">
        <v>59590242</v>
      </c>
      <c r="C19" s="235" t="inlineStr">
        <is>
          <t>Caucasian</t>
        </is>
      </c>
      <c r="D19" s="235" t="inlineStr">
        <is>
          <t>Female</t>
        </is>
      </c>
      <c r="E19" s="235" t="inlineStr">
        <is>
          <t>[70-80)</t>
        </is>
      </c>
      <c r="F19" s="235" t="n">
        <v>1</v>
      </c>
      <c r="G19" s="235" t="inlineStr">
        <is>
          <t>Oncology</t>
        </is>
      </c>
      <c r="H19" s="235" t="n">
        <v>39</v>
      </c>
      <c r="I19" s="235" t="n">
        <v>0</v>
      </c>
      <c r="J19" s="235" t="n">
        <v>1</v>
      </c>
      <c r="K19" s="235" t="n">
        <v>0</v>
      </c>
      <c r="L19" s="235" t="n">
        <v>0</v>
      </c>
      <c r="M19" s="235" t="n">
        <v>0</v>
      </c>
      <c r="N19" s="235" t="n">
        <v>9</v>
      </c>
      <c r="O19" s="235" t="inlineStr">
        <is>
          <t>No</t>
        </is>
      </c>
      <c r="P19" s="235" t="inlineStr">
        <is>
          <t>No</t>
        </is>
      </c>
      <c r="Q19" s="253" t="n">
        <v>0</v>
      </c>
    </row>
    <row r="20" ht="15" customHeight="1" s="195">
      <c r="A20" s="237" t="n">
        <v>167353710</v>
      </c>
      <c r="B20" s="237" t="n">
        <v>24197877</v>
      </c>
      <c r="C20" s="237" t="inlineStr">
        <is>
          <t>Caucasian</t>
        </is>
      </c>
      <c r="D20" s="237" t="inlineStr">
        <is>
          <t>Male</t>
        </is>
      </c>
      <c r="E20" s="237" t="inlineStr">
        <is>
          <t>[80-90)</t>
        </is>
      </c>
      <c r="F20" s="237" t="n">
        <v>5</v>
      </c>
      <c r="G20" s="237" t="inlineStr">
        <is>
          <t>InternalMedicine</t>
        </is>
      </c>
      <c r="H20" s="237" t="n">
        <v>50</v>
      </c>
      <c r="I20" s="237" t="n">
        <v>0</v>
      </c>
      <c r="J20" s="237" t="n">
        <v>26</v>
      </c>
      <c r="K20" s="237" t="n">
        <v>0</v>
      </c>
      <c r="L20" s="237" t="n">
        <v>0</v>
      </c>
      <c r="M20" s="237" t="n">
        <v>0</v>
      </c>
      <c r="N20" s="237" t="n">
        <v>5</v>
      </c>
      <c r="O20" s="237" t="inlineStr">
        <is>
          <t>Ch</t>
        </is>
      </c>
      <c r="P20" s="237" t="inlineStr">
        <is>
          <t>Yes</t>
        </is>
      </c>
      <c r="Q20" s="252" t="n">
        <v>1</v>
      </c>
    </row>
    <row r="21" ht="15" customHeight="1" s="195">
      <c r="A21" s="235" t="n">
        <v>402009338</v>
      </c>
      <c r="B21" s="235" t="n">
        <v>33108129</v>
      </c>
      <c r="C21" s="235" t="inlineStr">
        <is>
          <t>Hispanic</t>
        </is>
      </c>
      <c r="D21" s="235" t="inlineStr">
        <is>
          <t>Female</t>
        </is>
      </c>
      <c r="E21" s="235" t="inlineStr">
        <is>
          <t>[40-50)</t>
        </is>
      </c>
      <c r="F21" s="235" t="n">
        <v>2</v>
      </c>
      <c r="G21" s="235" t="inlineStr">
        <is>
          <t>?</t>
        </is>
      </c>
      <c r="H21" s="235" t="n">
        <v>2</v>
      </c>
      <c r="I21" s="235" t="n">
        <v>0</v>
      </c>
      <c r="J21" s="235" t="n">
        <v>4</v>
      </c>
      <c r="K21" s="235" t="n">
        <v>0</v>
      </c>
      <c r="L21" s="235" t="n">
        <v>1</v>
      </c>
      <c r="M21" s="235" t="n">
        <v>1</v>
      </c>
      <c r="N21" s="235" t="n">
        <v>6</v>
      </c>
      <c r="O21" s="235" t="inlineStr">
        <is>
          <t>No</t>
        </is>
      </c>
      <c r="P21" s="235" t="inlineStr">
        <is>
          <t>No</t>
        </is>
      </c>
      <c r="Q21" s="252" t="n">
        <v>1</v>
      </c>
    </row>
    <row r="22" ht="15" customHeight="1" s="195">
      <c r="A22" s="237" t="n">
        <v>200318412</v>
      </c>
      <c r="B22" s="237" t="n">
        <v>41009535</v>
      </c>
      <c r="C22" s="237" t="inlineStr">
        <is>
          <t>Caucasian</t>
        </is>
      </c>
      <c r="D22" s="237" t="inlineStr">
        <is>
          <t>Male</t>
        </is>
      </c>
      <c r="E22" s="237" t="inlineStr">
        <is>
          <t>[80-90)</t>
        </is>
      </c>
      <c r="F22" s="237" t="n">
        <v>4</v>
      </c>
      <c r="G22" s="237" t="inlineStr">
        <is>
          <t>PhysicianNotFound</t>
        </is>
      </c>
      <c r="H22" s="237" t="n">
        <v>30</v>
      </c>
      <c r="I22" s="237" t="n">
        <v>3</v>
      </c>
      <c r="J22" s="237" t="n">
        <v>24</v>
      </c>
      <c r="K22" s="237" t="n">
        <v>2</v>
      </c>
      <c r="L22" s="237" t="n">
        <v>0</v>
      </c>
      <c r="M22" s="237" t="n">
        <v>3</v>
      </c>
      <c r="N22" s="237" t="n">
        <v>2</v>
      </c>
      <c r="O22" s="237" t="inlineStr">
        <is>
          <t>Ch</t>
        </is>
      </c>
      <c r="P22" s="237" t="inlineStr">
        <is>
          <t>Yes</t>
        </is>
      </c>
      <c r="Q22" s="252" t="n">
        <v>1</v>
      </c>
    </row>
    <row r="23" ht="15" customHeight="1" s="195">
      <c r="A23" s="235" t="n">
        <v>174455268</v>
      </c>
      <c r="B23" s="235" t="n">
        <v>57266433</v>
      </c>
      <c r="C23" s="235" t="inlineStr">
        <is>
          <t>AfricanAmerican</t>
        </is>
      </c>
      <c r="D23" s="235" t="inlineStr">
        <is>
          <t>Female</t>
        </is>
      </c>
      <c r="E23" s="235" t="inlineStr">
        <is>
          <t>[80-90)</t>
        </is>
      </c>
      <c r="F23" s="235" t="n">
        <v>5</v>
      </c>
      <c r="G23" s="235" t="inlineStr">
        <is>
          <t>Emergency/Trauma</t>
        </is>
      </c>
      <c r="H23" s="235" t="n">
        <v>41</v>
      </c>
      <c r="I23" s="235" t="n">
        <v>0</v>
      </c>
      <c r="J23" s="235" t="n">
        <v>10</v>
      </c>
      <c r="K23" s="235" t="n">
        <v>3</v>
      </c>
      <c r="L23" s="235" t="n">
        <v>0</v>
      </c>
      <c r="M23" s="235" t="n">
        <v>1</v>
      </c>
      <c r="N23" s="235" t="n">
        <v>9</v>
      </c>
      <c r="O23" s="235" t="inlineStr">
        <is>
          <t>No</t>
        </is>
      </c>
      <c r="P23" s="235" t="inlineStr">
        <is>
          <t>Yes</t>
        </is>
      </c>
      <c r="Q23" s="253" t="n">
        <v>0</v>
      </c>
    </row>
    <row r="24" ht="15" customHeight="1" s="195">
      <c r="A24" s="237" t="n">
        <v>170480604</v>
      </c>
      <c r="B24" s="237" t="n">
        <v>78219126</v>
      </c>
      <c r="C24" s="237" t="inlineStr">
        <is>
          <t>Caucasian</t>
        </is>
      </c>
      <c r="D24" s="237" t="inlineStr">
        <is>
          <t>Female</t>
        </is>
      </c>
      <c r="E24" s="237" t="inlineStr">
        <is>
          <t>[70-80)</t>
        </is>
      </c>
      <c r="F24" s="237" t="n">
        <v>2</v>
      </c>
      <c r="G24" s="237" t="inlineStr">
        <is>
          <t>Nephrology</t>
        </is>
      </c>
      <c r="H24" s="237" t="n">
        <v>36</v>
      </c>
      <c r="I24" s="237" t="n">
        <v>1</v>
      </c>
      <c r="J24" s="237" t="n">
        <v>11</v>
      </c>
      <c r="K24" s="237" t="n">
        <v>0</v>
      </c>
      <c r="L24" s="237" t="n">
        <v>0</v>
      </c>
      <c r="M24" s="237" t="n">
        <v>1</v>
      </c>
      <c r="N24" s="237" t="n">
        <v>9</v>
      </c>
      <c r="O24" s="237" t="inlineStr">
        <is>
          <t>No</t>
        </is>
      </c>
      <c r="P24" s="237" t="inlineStr">
        <is>
          <t>No</t>
        </is>
      </c>
      <c r="Q24" s="252" t="n">
        <v>1</v>
      </c>
    </row>
    <row r="25" ht="15" customHeight="1" s="195">
      <c r="A25" s="235" t="n">
        <v>32761134</v>
      </c>
      <c r="B25" s="235" t="n">
        <v>2839500</v>
      </c>
      <c r="C25" s="235" t="inlineStr">
        <is>
          <t>Caucasian</t>
        </is>
      </c>
      <c r="D25" s="235" t="inlineStr">
        <is>
          <t>Male</t>
        </is>
      </c>
      <c r="E25" s="235" t="inlineStr">
        <is>
          <t>[50-60)</t>
        </is>
      </c>
      <c r="F25" s="235" t="n">
        <v>3</v>
      </c>
      <c r="G25" s="235" t="inlineStr">
        <is>
          <t>Family/GeneralPractice</t>
        </is>
      </c>
      <c r="H25" s="235" t="n">
        <v>49</v>
      </c>
      <c r="I25" s="235" t="n">
        <v>3</v>
      </c>
      <c r="J25" s="235" t="n">
        <v>7</v>
      </c>
      <c r="K25" s="235" t="n">
        <v>0</v>
      </c>
      <c r="L25" s="235" t="n">
        <v>0</v>
      </c>
      <c r="M25" s="235" t="n">
        <v>0</v>
      </c>
      <c r="N25" s="235" t="n">
        <v>9</v>
      </c>
      <c r="O25" s="235" t="inlineStr">
        <is>
          <t>No</t>
        </is>
      </c>
      <c r="P25" s="235" t="inlineStr">
        <is>
          <t>Yes</t>
        </is>
      </c>
      <c r="Q25" s="252" t="n">
        <v>1</v>
      </c>
    </row>
    <row r="26" ht="15" customHeight="1" s="195">
      <c r="A26" s="237" t="n">
        <v>137046108</v>
      </c>
      <c r="B26" s="237" t="n">
        <v>50326200</v>
      </c>
      <c r="C26" s="237" t="inlineStr">
        <is>
          <t>AfricanAmerican</t>
        </is>
      </c>
      <c r="D26" s="237" t="inlineStr">
        <is>
          <t>Female</t>
        </is>
      </c>
      <c r="E26" s="237" t="inlineStr">
        <is>
          <t>[60-70)</t>
        </is>
      </c>
      <c r="F26" s="237" t="n">
        <v>3</v>
      </c>
      <c r="G26" s="237" t="inlineStr">
        <is>
          <t>InternalMedicine</t>
        </is>
      </c>
      <c r="H26" s="237" t="n">
        <v>63</v>
      </c>
      <c r="I26" s="237" t="n">
        <v>6</v>
      </c>
      <c r="J26" s="237" t="n">
        <v>29</v>
      </c>
      <c r="K26" s="237" t="n">
        <v>0</v>
      </c>
      <c r="L26" s="237" t="n">
        <v>3</v>
      </c>
      <c r="M26" s="237" t="n">
        <v>2</v>
      </c>
      <c r="N26" s="237" t="n">
        <v>9</v>
      </c>
      <c r="O26" s="237" t="inlineStr">
        <is>
          <t>Ch</t>
        </is>
      </c>
      <c r="P26" s="237" t="inlineStr">
        <is>
          <t>Yes</t>
        </is>
      </c>
      <c r="Q26" s="252" t="n">
        <v>1</v>
      </c>
    </row>
    <row r="27" ht="15" customHeight="1" s="195">
      <c r="A27" s="235" t="n">
        <v>110502870</v>
      </c>
      <c r="B27" s="235" t="n">
        <v>59611689</v>
      </c>
      <c r="C27" s="235" t="inlineStr">
        <is>
          <t>Caucasian</t>
        </is>
      </c>
      <c r="D27" s="235" t="inlineStr">
        <is>
          <t>Male</t>
        </is>
      </c>
      <c r="E27" s="235" t="inlineStr">
        <is>
          <t>[70-80)</t>
        </is>
      </c>
      <c r="F27" s="235" t="n">
        <v>2</v>
      </c>
      <c r="G27" s="235" t="inlineStr">
        <is>
          <t>?</t>
        </is>
      </c>
      <c r="H27" s="235" t="n">
        <v>43</v>
      </c>
      <c r="I27" s="235" t="n">
        <v>0</v>
      </c>
      <c r="J27" s="235" t="n">
        <v>14</v>
      </c>
      <c r="K27" s="235" t="n">
        <v>0</v>
      </c>
      <c r="L27" s="235" t="n">
        <v>0</v>
      </c>
      <c r="M27" s="235" t="n">
        <v>1</v>
      </c>
      <c r="N27" s="235" t="n">
        <v>6</v>
      </c>
      <c r="O27" s="235" t="inlineStr">
        <is>
          <t>Ch</t>
        </is>
      </c>
      <c r="P27" s="235" t="inlineStr">
        <is>
          <t>Yes</t>
        </is>
      </c>
      <c r="Q27" s="252" t="n">
        <v>1</v>
      </c>
    </row>
    <row r="28" ht="15" customHeight="1" s="195">
      <c r="A28" s="237" t="n">
        <v>26881278</v>
      </c>
      <c r="B28" s="237" t="n">
        <v>395559</v>
      </c>
      <c r="C28" s="237" t="inlineStr">
        <is>
          <t>Caucasian</t>
        </is>
      </c>
      <c r="D28" s="237" t="inlineStr">
        <is>
          <t>Male</t>
        </is>
      </c>
      <c r="E28" s="237" t="inlineStr">
        <is>
          <t>[70-80)</t>
        </is>
      </c>
      <c r="F28" s="237" t="n">
        <v>11</v>
      </c>
      <c r="G28" s="237" t="inlineStr">
        <is>
          <t>?</t>
        </is>
      </c>
      <c r="H28" s="237" t="n">
        <v>42</v>
      </c>
      <c r="I28" s="237" t="n">
        <v>0</v>
      </c>
      <c r="J28" s="237" t="n">
        <v>26</v>
      </c>
      <c r="K28" s="237" t="n">
        <v>0</v>
      </c>
      <c r="L28" s="237" t="n">
        <v>0</v>
      </c>
      <c r="M28" s="237" t="n">
        <v>0</v>
      </c>
      <c r="N28" s="237" t="n">
        <v>9</v>
      </c>
      <c r="O28" s="237" t="inlineStr">
        <is>
          <t>Ch</t>
        </is>
      </c>
      <c r="P28" s="237" t="inlineStr">
        <is>
          <t>Yes</t>
        </is>
      </c>
      <c r="Q28" s="252" t="n">
        <v>1</v>
      </c>
    </row>
    <row r="29" ht="15" customHeight="1" s="195">
      <c r="A29" s="235" t="n">
        <v>228022116</v>
      </c>
      <c r="B29" s="235" t="n">
        <v>105576363</v>
      </c>
      <c r="C29" s="235" t="inlineStr">
        <is>
          <t>Caucasian</t>
        </is>
      </c>
      <c r="D29" s="235" t="inlineStr">
        <is>
          <t>Male</t>
        </is>
      </c>
      <c r="E29" s="235" t="inlineStr">
        <is>
          <t>[80-90)</t>
        </is>
      </c>
      <c r="F29" s="235" t="n">
        <v>6</v>
      </c>
      <c r="G29" s="235" t="inlineStr">
        <is>
          <t>?</t>
        </is>
      </c>
      <c r="H29" s="235" t="n">
        <v>1</v>
      </c>
      <c r="I29" s="235" t="n">
        <v>2</v>
      </c>
      <c r="J29" s="235" t="n">
        <v>14</v>
      </c>
      <c r="K29" s="235" t="n">
        <v>25</v>
      </c>
      <c r="L29" s="235" t="n">
        <v>0</v>
      </c>
      <c r="M29" s="235" t="n">
        <v>1</v>
      </c>
      <c r="N29" s="235" t="n">
        <v>9</v>
      </c>
      <c r="O29" s="235" t="inlineStr">
        <is>
          <t>No</t>
        </is>
      </c>
      <c r="P29" s="235" t="inlineStr">
        <is>
          <t>Yes</t>
        </is>
      </c>
      <c r="Q29" s="253" t="n">
        <v>0</v>
      </c>
    </row>
    <row r="30" ht="15" customHeight="1" s="195">
      <c r="A30" s="237" t="n">
        <v>96602652</v>
      </c>
      <c r="B30" s="237" t="n">
        <v>65798622</v>
      </c>
      <c r="C30" s="237" t="inlineStr">
        <is>
          <t>Caucasian</t>
        </is>
      </c>
      <c r="D30" s="237" t="inlineStr">
        <is>
          <t>Female</t>
        </is>
      </c>
      <c r="E30" s="237" t="inlineStr">
        <is>
          <t>[80-90)</t>
        </is>
      </c>
      <c r="F30" s="237" t="n">
        <v>2</v>
      </c>
      <c r="G30" s="237" t="inlineStr">
        <is>
          <t>InternalMedicine</t>
        </is>
      </c>
      <c r="H30" s="237" t="n">
        <v>34</v>
      </c>
      <c r="I30" s="237" t="n">
        <v>0</v>
      </c>
      <c r="J30" s="237" t="n">
        <v>16</v>
      </c>
      <c r="K30" s="237" t="n">
        <v>0</v>
      </c>
      <c r="L30" s="237" t="n">
        <v>0</v>
      </c>
      <c r="M30" s="237" t="n">
        <v>0</v>
      </c>
      <c r="N30" s="237" t="n">
        <v>9</v>
      </c>
      <c r="O30" s="237" t="inlineStr">
        <is>
          <t>No</t>
        </is>
      </c>
      <c r="P30" s="237" t="inlineStr">
        <is>
          <t>Yes</t>
        </is>
      </c>
      <c r="Q30" s="253" t="n">
        <v>0</v>
      </c>
    </row>
    <row r="31" ht="15" customHeight="1" s="195">
      <c r="A31" s="235" t="n">
        <v>93310956</v>
      </c>
      <c r="B31" s="235" t="n">
        <v>111713895</v>
      </c>
      <c r="C31" s="235" t="inlineStr">
        <is>
          <t>Caucasian</t>
        </is>
      </c>
      <c r="D31" s="235" t="inlineStr">
        <is>
          <t>Female</t>
        </is>
      </c>
      <c r="E31" s="235" t="inlineStr">
        <is>
          <t>[50-60)</t>
        </is>
      </c>
      <c r="F31" s="235" t="n">
        <v>4</v>
      </c>
      <c r="G31" s="235" t="inlineStr">
        <is>
          <t>Family/GeneralPractice</t>
        </is>
      </c>
      <c r="H31" s="235" t="n">
        <v>70</v>
      </c>
      <c r="I31" s="235" t="n">
        <v>0</v>
      </c>
      <c r="J31" s="235" t="n">
        <v>15</v>
      </c>
      <c r="K31" s="235" t="n">
        <v>0</v>
      </c>
      <c r="L31" s="235" t="n">
        <v>0</v>
      </c>
      <c r="M31" s="235" t="n">
        <v>0</v>
      </c>
      <c r="N31" s="235" t="n">
        <v>9</v>
      </c>
      <c r="O31" s="235" t="inlineStr">
        <is>
          <t>Ch</t>
        </is>
      </c>
      <c r="P31" s="235" t="inlineStr">
        <is>
          <t>Yes</t>
        </is>
      </c>
      <c r="Q31" s="253" t="n">
        <v>0</v>
      </c>
    </row>
    <row r="32" ht="15" customHeight="1" s="195">
      <c r="A32" s="237" t="n">
        <v>101805420</v>
      </c>
      <c r="B32" s="237" t="n">
        <v>10967841</v>
      </c>
      <c r="C32" s="237" t="inlineStr">
        <is>
          <t>?</t>
        </is>
      </c>
      <c r="D32" s="237" t="inlineStr">
        <is>
          <t>Female</t>
        </is>
      </c>
      <c r="E32" s="237" t="inlineStr">
        <is>
          <t>[80-90)</t>
        </is>
      </c>
      <c r="F32" s="237" t="n">
        <v>9</v>
      </c>
      <c r="G32" s="237" t="inlineStr">
        <is>
          <t>InternalMedicine</t>
        </is>
      </c>
      <c r="H32" s="237" t="n">
        <v>54</v>
      </c>
      <c r="I32" s="237" t="n">
        <v>0</v>
      </c>
      <c r="J32" s="237" t="n">
        <v>11</v>
      </c>
      <c r="K32" s="237" t="n">
        <v>0</v>
      </c>
      <c r="L32" s="237" t="n">
        <v>0</v>
      </c>
      <c r="M32" s="237" t="n">
        <v>0</v>
      </c>
      <c r="N32" s="237" t="n">
        <v>5</v>
      </c>
      <c r="O32" s="237" t="inlineStr">
        <is>
          <t>Ch</t>
        </is>
      </c>
      <c r="P32" s="237" t="inlineStr">
        <is>
          <t>Yes</t>
        </is>
      </c>
      <c r="Q32" s="253" t="n">
        <v>0</v>
      </c>
    </row>
    <row r="33" ht="15" customHeight="1" s="195">
      <c r="A33" s="235" t="n">
        <v>110112030</v>
      </c>
      <c r="B33" s="235" t="n">
        <v>23436540</v>
      </c>
      <c r="C33" s="235" t="inlineStr">
        <is>
          <t>AfricanAmerican</t>
        </is>
      </c>
      <c r="D33" s="235" t="inlineStr">
        <is>
          <t>Female</t>
        </is>
      </c>
      <c r="E33" s="235" t="inlineStr">
        <is>
          <t>[60-70)</t>
        </is>
      </c>
      <c r="F33" s="235" t="n">
        <v>12</v>
      </c>
      <c r="G33" s="235" t="inlineStr">
        <is>
          <t>Oncology</t>
        </is>
      </c>
      <c r="H33" s="235" t="n">
        <v>39</v>
      </c>
      <c r="I33" s="235" t="n">
        <v>3</v>
      </c>
      <c r="J33" s="235" t="n">
        <v>19</v>
      </c>
      <c r="K33" s="235" t="n">
        <v>0</v>
      </c>
      <c r="L33" s="235" t="n">
        <v>0</v>
      </c>
      <c r="M33" s="235" t="n">
        <v>0</v>
      </c>
      <c r="N33" s="235" t="n">
        <v>9</v>
      </c>
      <c r="O33" s="235" t="inlineStr">
        <is>
          <t>No</t>
        </is>
      </c>
      <c r="P33" s="235" t="inlineStr">
        <is>
          <t>Yes</t>
        </is>
      </c>
      <c r="Q33" s="253" t="n">
        <v>0</v>
      </c>
    </row>
    <row r="34" ht="15" customHeight="1" s="195">
      <c r="A34" s="237" t="n">
        <v>130494156</v>
      </c>
      <c r="B34" s="237" t="n">
        <v>11364066</v>
      </c>
      <c r="C34" s="237" t="inlineStr">
        <is>
          <t>Caucasian</t>
        </is>
      </c>
      <c r="D34" s="237" t="inlineStr">
        <is>
          <t>Female</t>
        </is>
      </c>
      <c r="E34" s="237" t="inlineStr">
        <is>
          <t>[80-90)</t>
        </is>
      </c>
      <c r="F34" s="237" t="n">
        <v>10</v>
      </c>
      <c r="G34" s="237" t="inlineStr">
        <is>
          <t>InternalMedicine</t>
        </is>
      </c>
      <c r="H34" s="237" t="n">
        <v>63</v>
      </c>
      <c r="I34" s="237" t="n">
        <v>1</v>
      </c>
      <c r="J34" s="237" t="n">
        <v>9</v>
      </c>
      <c r="K34" s="237" t="n">
        <v>0</v>
      </c>
      <c r="L34" s="237" t="n">
        <v>0</v>
      </c>
      <c r="M34" s="237" t="n">
        <v>0</v>
      </c>
      <c r="N34" s="237" t="n">
        <v>9</v>
      </c>
      <c r="O34" s="237" t="inlineStr">
        <is>
          <t>No</t>
        </is>
      </c>
      <c r="P34" s="237" t="inlineStr">
        <is>
          <t>Yes</t>
        </is>
      </c>
      <c r="Q34" s="253" t="n">
        <v>0</v>
      </c>
    </row>
    <row r="35" ht="15" customHeight="1" s="195">
      <c r="A35" s="235" t="n">
        <v>347307248</v>
      </c>
      <c r="B35" s="235" t="n">
        <v>93927105</v>
      </c>
      <c r="C35" s="235" t="inlineStr">
        <is>
          <t>Caucasian</t>
        </is>
      </c>
      <c r="D35" s="235" t="inlineStr">
        <is>
          <t>Male</t>
        </is>
      </c>
      <c r="E35" s="235" t="inlineStr">
        <is>
          <t>[40-50)</t>
        </is>
      </c>
      <c r="F35" s="235" t="n">
        <v>5</v>
      </c>
      <c r="G35" s="235" t="inlineStr">
        <is>
          <t>InternalMedicine</t>
        </is>
      </c>
      <c r="H35" s="235" t="n">
        <v>45</v>
      </c>
      <c r="I35" s="235" t="n">
        <v>3</v>
      </c>
      <c r="J35" s="235" t="n">
        <v>18</v>
      </c>
      <c r="K35" s="235" t="n">
        <v>1</v>
      </c>
      <c r="L35" s="235" t="n">
        <v>0</v>
      </c>
      <c r="M35" s="235" t="n">
        <v>0</v>
      </c>
      <c r="N35" s="235" t="n">
        <v>9</v>
      </c>
      <c r="O35" s="235" t="inlineStr">
        <is>
          <t>Ch</t>
        </is>
      </c>
      <c r="P35" s="235" t="inlineStr">
        <is>
          <t>Yes</t>
        </is>
      </c>
      <c r="Q35" s="253" t="n">
        <v>0</v>
      </c>
    </row>
    <row r="36" ht="15" customHeight="1" s="195">
      <c r="A36" s="237" t="n">
        <v>439690214</v>
      </c>
      <c r="B36" s="237" t="n">
        <v>164798069</v>
      </c>
      <c r="C36" s="237" t="inlineStr">
        <is>
          <t>AfricanAmerican</t>
        </is>
      </c>
      <c r="D36" s="237" t="inlineStr">
        <is>
          <t>Female</t>
        </is>
      </c>
      <c r="E36" s="237" t="inlineStr">
        <is>
          <t>[60-70)</t>
        </is>
      </c>
      <c r="F36" s="237" t="n">
        <v>2</v>
      </c>
      <c r="G36" s="237" t="inlineStr">
        <is>
          <t>?</t>
        </is>
      </c>
      <c r="H36" s="237" t="n">
        <v>50</v>
      </c>
      <c r="I36" s="237" t="n">
        <v>5</v>
      </c>
      <c r="J36" s="237" t="n">
        <v>19</v>
      </c>
      <c r="K36" s="237" t="n">
        <v>0</v>
      </c>
      <c r="L36" s="237" t="n">
        <v>0</v>
      </c>
      <c r="M36" s="237" t="n">
        <v>0</v>
      </c>
      <c r="N36" s="237" t="n">
        <v>6</v>
      </c>
      <c r="O36" s="237" t="inlineStr">
        <is>
          <t>No</t>
        </is>
      </c>
      <c r="P36" s="237" t="inlineStr">
        <is>
          <t>No</t>
        </is>
      </c>
      <c r="Q36" s="253" t="n">
        <v>0</v>
      </c>
    </row>
    <row r="37" ht="15" customHeight="1" s="195">
      <c r="A37" s="235" t="n">
        <v>139957986</v>
      </c>
      <c r="B37" s="235" t="n">
        <v>31629384</v>
      </c>
      <c r="C37" s="235" t="inlineStr">
        <is>
          <t>Caucasian</t>
        </is>
      </c>
      <c r="D37" s="235" t="inlineStr">
        <is>
          <t>Male</t>
        </is>
      </c>
      <c r="E37" s="235" t="inlineStr">
        <is>
          <t>[70-80)</t>
        </is>
      </c>
      <c r="F37" s="235" t="n">
        <v>4</v>
      </c>
      <c r="G37" s="235" t="inlineStr">
        <is>
          <t>?</t>
        </is>
      </c>
      <c r="H37" s="235" t="n">
        <v>34</v>
      </c>
      <c r="I37" s="235" t="n">
        <v>2</v>
      </c>
      <c r="J37" s="235" t="n">
        <v>16</v>
      </c>
      <c r="K37" s="235" t="n">
        <v>0</v>
      </c>
      <c r="L37" s="235" t="n">
        <v>0</v>
      </c>
      <c r="M37" s="235" t="n">
        <v>0</v>
      </c>
      <c r="N37" s="235" t="n">
        <v>9</v>
      </c>
      <c r="O37" s="235" t="inlineStr">
        <is>
          <t>No</t>
        </is>
      </c>
      <c r="P37" s="235" t="inlineStr">
        <is>
          <t>No</t>
        </is>
      </c>
      <c r="Q37" s="252" t="n">
        <v>1</v>
      </c>
    </row>
    <row r="38" ht="15" customHeight="1" s="195">
      <c r="A38" s="237" t="n">
        <v>162462048</v>
      </c>
      <c r="B38" s="237" t="n">
        <v>33879276</v>
      </c>
      <c r="C38" s="237" t="inlineStr">
        <is>
          <t>AfricanAmerican</t>
        </is>
      </c>
      <c r="D38" s="237" t="inlineStr">
        <is>
          <t>Male</t>
        </is>
      </c>
      <c r="E38" s="237" t="inlineStr">
        <is>
          <t>[50-60)</t>
        </is>
      </c>
      <c r="F38" s="237" t="n">
        <v>2</v>
      </c>
      <c r="G38" s="237" t="inlineStr">
        <is>
          <t>?</t>
        </is>
      </c>
      <c r="H38" s="237" t="n">
        <v>52</v>
      </c>
      <c r="I38" s="237" t="n">
        <v>0</v>
      </c>
      <c r="J38" s="237" t="n">
        <v>15</v>
      </c>
      <c r="K38" s="237" t="n">
        <v>0</v>
      </c>
      <c r="L38" s="237" t="n">
        <v>0</v>
      </c>
      <c r="M38" s="237" t="n">
        <v>0</v>
      </c>
      <c r="N38" s="237" t="n">
        <v>6</v>
      </c>
      <c r="O38" s="237" t="inlineStr">
        <is>
          <t>Ch</t>
        </is>
      </c>
      <c r="P38" s="237" t="inlineStr">
        <is>
          <t>Yes</t>
        </is>
      </c>
      <c r="Q38" s="253" t="n">
        <v>0</v>
      </c>
    </row>
    <row r="39" ht="15" customHeight="1" s="195">
      <c r="A39" s="235" t="n">
        <v>434372588</v>
      </c>
      <c r="B39" s="235" t="n">
        <v>141475298</v>
      </c>
      <c r="C39" s="235" t="inlineStr">
        <is>
          <t>Caucasian</t>
        </is>
      </c>
      <c r="D39" s="235" t="inlineStr">
        <is>
          <t>Female</t>
        </is>
      </c>
      <c r="E39" s="235" t="inlineStr">
        <is>
          <t>[70-80)</t>
        </is>
      </c>
      <c r="F39" s="235" t="n">
        <v>1</v>
      </c>
      <c r="G39" s="235" t="inlineStr">
        <is>
          <t>?</t>
        </is>
      </c>
      <c r="H39" s="235" t="n">
        <v>1</v>
      </c>
      <c r="I39" s="235" t="n">
        <v>3</v>
      </c>
      <c r="J39" s="235" t="n">
        <v>12</v>
      </c>
      <c r="K39" s="235" t="n">
        <v>0</v>
      </c>
      <c r="L39" s="235" t="n">
        <v>0</v>
      </c>
      <c r="M39" s="235" t="n">
        <v>0</v>
      </c>
      <c r="N39" s="235" t="n">
        <v>6</v>
      </c>
      <c r="O39" s="235" t="inlineStr">
        <is>
          <t>Ch</t>
        </is>
      </c>
      <c r="P39" s="235" t="inlineStr">
        <is>
          <t>Yes</t>
        </is>
      </c>
      <c r="Q39" s="253" t="n">
        <v>0</v>
      </c>
    </row>
    <row r="40" ht="15" customHeight="1" s="195">
      <c r="A40" s="237" t="n">
        <v>125741808</v>
      </c>
      <c r="B40" s="237" t="n">
        <v>99583722</v>
      </c>
      <c r="C40" s="237" t="inlineStr">
        <is>
          <t>Caucasian</t>
        </is>
      </c>
      <c r="D40" s="237" t="inlineStr">
        <is>
          <t>Male</t>
        </is>
      </c>
      <c r="E40" s="237" t="inlineStr">
        <is>
          <t>[70-80)</t>
        </is>
      </c>
      <c r="F40" s="237" t="n">
        <v>10</v>
      </c>
      <c r="G40" s="237" t="inlineStr">
        <is>
          <t>Emergency/Trauma</t>
        </is>
      </c>
      <c r="H40" s="237" t="n">
        <v>1</v>
      </c>
      <c r="I40" s="237" t="n">
        <v>1</v>
      </c>
      <c r="J40" s="237" t="n">
        <v>14</v>
      </c>
      <c r="K40" s="237" t="n">
        <v>0</v>
      </c>
      <c r="L40" s="237" t="n">
        <v>0</v>
      </c>
      <c r="M40" s="237" t="n">
        <v>1</v>
      </c>
      <c r="N40" s="237" t="n">
        <v>9</v>
      </c>
      <c r="O40" s="237" t="inlineStr">
        <is>
          <t>Ch</t>
        </is>
      </c>
      <c r="P40" s="237" t="inlineStr">
        <is>
          <t>Yes</t>
        </is>
      </c>
      <c r="Q40" s="252" t="n">
        <v>1</v>
      </c>
    </row>
    <row r="41" ht="15" customHeight="1" s="195">
      <c r="A41" s="235" t="n">
        <v>93420150</v>
      </c>
      <c r="B41" s="235" t="n">
        <v>23473188</v>
      </c>
      <c r="C41" s="235" t="inlineStr">
        <is>
          <t>Caucasian</t>
        </is>
      </c>
      <c r="D41" s="235" t="inlineStr">
        <is>
          <t>Female</t>
        </is>
      </c>
      <c r="E41" s="235" t="inlineStr">
        <is>
          <t>[70-80)</t>
        </is>
      </c>
      <c r="F41" s="235" t="n">
        <v>1</v>
      </c>
      <c r="G41" s="235" t="inlineStr">
        <is>
          <t>?</t>
        </is>
      </c>
      <c r="H41" s="235" t="n">
        <v>13</v>
      </c>
      <c r="I41" s="235" t="n">
        <v>0</v>
      </c>
      <c r="J41" s="235" t="n">
        <v>3</v>
      </c>
      <c r="K41" s="235" t="n">
        <v>0</v>
      </c>
      <c r="L41" s="235" t="n">
        <v>0</v>
      </c>
      <c r="M41" s="235" t="n">
        <v>0</v>
      </c>
      <c r="N41" s="235" t="n">
        <v>5</v>
      </c>
      <c r="O41" s="235" t="inlineStr">
        <is>
          <t>No</t>
        </is>
      </c>
      <c r="P41" s="235" t="inlineStr">
        <is>
          <t>No</t>
        </is>
      </c>
      <c r="Q41" s="253" t="n">
        <v>0</v>
      </c>
    </row>
    <row r="42" ht="15" customHeight="1" s="195">
      <c r="A42" s="237" t="n">
        <v>302490740</v>
      </c>
      <c r="B42" s="237" t="n">
        <v>39476286</v>
      </c>
      <c r="C42" s="237" t="inlineStr">
        <is>
          <t>Caucasian</t>
        </is>
      </c>
      <c r="D42" s="237" t="inlineStr">
        <is>
          <t>Female</t>
        </is>
      </c>
      <c r="E42" s="237" t="inlineStr">
        <is>
          <t>[70-80)</t>
        </is>
      </c>
      <c r="F42" s="237" t="n">
        <v>3</v>
      </c>
      <c r="G42" s="237" t="inlineStr">
        <is>
          <t>?</t>
        </is>
      </c>
      <c r="H42" s="237" t="n">
        <v>37</v>
      </c>
      <c r="I42" s="237" t="n">
        <v>0</v>
      </c>
      <c r="J42" s="237" t="n">
        <v>6</v>
      </c>
      <c r="K42" s="237" t="n">
        <v>0</v>
      </c>
      <c r="L42" s="237" t="n">
        <v>0</v>
      </c>
      <c r="M42" s="237" t="n">
        <v>2</v>
      </c>
      <c r="N42" s="237" t="n">
        <v>9</v>
      </c>
      <c r="O42" s="237" t="inlineStr">
        <is>
          <t>No</t>
        </is>
      </c>
      <c r="P42" s="237" t="inlineStr">
        <is>
          <t>Yes</t>
        </is>
      </c>
      <c r="Q42" s="253" t="n">
        <v>0</v>
      </c>
    </row>
    <row r="43" ht="15" customHeight="1" s="195">
      <c r="A43" s="235" t="n">
        <v>105686856</v>
      </c>
      <c r="B43" s="235" t="n">
        <v>5546691</v>
      </c>
      <c r="C43" s="235" t="inlineStr">
        <is>
          <t>AfricanAmerican</t>
        </is>
      </c>
      <c r="D43" s="235" t="inlineStr">
        <is>
          <t>Female</t>
        </is>
      </c>
      <c r="E43" s="235" t="inlineStr">
        <is>
          <t>[50-60)</t>
        </is>
      </c>
      <c r="F43" s="235" t="n">
        <v>6</v>
      </c>
      <c r="G43" s="235" t="inlineStr">
        <is>
          <t>Nephrology</t>
        </is>
      </c>
      <c r="H43" s="235" t="n">
        <v>44</v>
      </c>
      <c r="I43" s="235" t="n">
        <v>2</v>
      </c>
      <c r="J43" s="235" t="n">
        <v>14</v>
      </c>
      <c r="K43" s="235" t="n">
        <v>0</v>
      </c>
      <c r="L43" s="235" t="n">
        <v>0</v>
      </c>
      <c r="M43" s="235" t="n">
        <v>1</v>
      </c>
      <c r="N43" s="235" t="n">
        <v>5</v>
      </c>
      <c r="O43" s="235" t="inlineStr">
        <is>
          <t>No</t>
        </is>
      </c>
      <c r="P43" s="235" t="inlineStr">
        <is>
          <t>Yes</t>
        </is>
      </c>
      <c r="Q43" s="253" t="n">
        <v>0</v>
      </c>
    </row>
    <row r="44" ht="15" customHeight="1" s="195">
      <c r="A44" s="237" t="n">
        <v>61592130</v>
      </c>
      <c r="B44" s="237" t="n">
        <v>19813545</v>
      </c>
      <c r="C44" s="237" t="inlineStr">
        <is>
          <t>Caucasian</t>
        </is>
      </c>
      <c r="D44" s="237" t="inlineStr">
        <is>
          <t>Female</t>
        </is>
      </c>
      <c r="E44" s="237" t="inlineStr">
        <is>
          <t>[70-80)</t>
        </is>
      </c>
      <c r="F44" s="237" t="n">
        <v>4</v>
      </c>
      <c r="G44" s="237" t="inlineStr">
        <is>
          <t>Orthopedics</t>
        </is>
      </c>
      <c r="H44" s="237" t="n">
        <v>24</v>
      </c>
      <c r="I44" s="237" t="n">
        <v>2</v>
      </c>
      <c r="J44" s="237" t="n">
        <v>24</v>
      </c>
      <c r="K44" s="237" t="n">
        <v>0</v>
      </c>
      <c r="L44" s="237" t="n">
        <v>0</v>
      </c>
      <c r="M44" s="237" t="n">
        <v>1</v>
      </c>
      <c r="N44" s="237" t="n">
        <v>4</v>
      </c>
      <c r="O44" s="237" t="inlineStr">
        <is>
          <t>No</t>
        </is>
      </c>
      <c r="P44" s="237" t="inlineStr">
        <is>
          <t>Yes</t>
        </is>
      </c>
      <c r="Q44" s="253" t="n">
        <v>0</v>
      </c>
    </row>
    <row r="45" ht="15" customHeight="1" s="195">
      <c r="A45" s="235" t="n">
        <v>139409784</v>
      </c>
      <c r="B45" s="235" t="n">
        <v>77554278</v>
      </c>
      <c r="C45" s="235" t="inlineStr">
        <is>
          <t>Caucasian</t>
        </is>
      </c>
      <c r="D45" s="235" t="inlineStr">
        <is>
          <t>Female</t>
        </is>
      </c>
      <c r="E45" s="235" t="inlineStr">
        <is>
          <t>[80-90)</t>
        </is>
      </c>
      <c r="F45" s="235" t="n">
        <v>2</v>
      </c>
      <c r="G45" s="235" t="inlineStr">
        <is>
          <t>?</t>
        </is>
      </c>
      <c r="H45" s="235" t="n">
        <v>3</v>
      </c>
      <c r="I45" s="235" t="n">
        <v>0</v>
      </c>
      <c r="J45" s="235" t="n">
        <v>15</v>
      </c>
      <c r="K45" s="235" t="n">
        <v>0</v>
      </c>
      <c r="L45" s="235" t="n">
        <v>0</v>
      </c>
      <c r="M45" s="235" t="n">
        <v>0</v>
      </c>
      <c r="N45" s="235" t="n">
        <v>9</v>
      </c>
      <c r="O45" s="235" t="inlineStr">
        <is>
          <t>No</t>
        </is>
      </c>
      <c r="P45" s="235" t="inlineStr">
        <is>
          <t>Yes</t>
        </is>
      </c>
      <c r="Q45" s="252" t="n">
        <v>1</v>
      </c>
    </row>
    <row r="46" ht="15" customHeight="1" s="195">
      <c r="A46" s="237" t="n">
        <v>358532600</v>
      </c>
      <c r="B46" s="237" t="n">
        <v>93086505</v>
      </c>
      <c r="C46" s="237" t="inlineStr">
        <is>
          <t>Caucasian</t>
        </is>
      </c>
      <c r="D46" s="237" t="inlineStr">
        <is>
          <t>Female</t>
        </is>
      </c>
      <c r="E46" s="237" t="inlineStr">
        <is>
          <t>[20-30)</t>
        </is>
      </c>
      <c r="F46" s="237" t="n">
        <v>1</v>
      </c>
      <c r="G46" s="237" t="inlineStr">
        <is>
          <t>?</t>
        </is>
      </c>
      <c r="H46" s="237" t="n">
        <v>46</v>
      </c>
      <c r="I46" s="237" t="n">
        <v>0</v>
      </c>
      <c r="J46" s="237" t="n">
        <v>11</v>
      </c>
      <c r="K46" s="237" t="n">
        <v>1</v>
      </c>
      <c r="L46" s="237" t="n">
        <v>1</v>
      </c>
      <c r="M46" s="237" t="n">
        <v>4</v>
      </c>
      <c r="N46" s="237" t="n">
        <v>8</v>
      </c>
      <c r="O46" s="237" t="inlineStr">
        <is>
          <t>No</t>
        </is>
      </c>
      <c r="P46" s="237" t="inlineStr">
        <is>
          <t>No</t>
        </is>
      </c>
      <c r="Q46" s="253" t="n">
        <v>0</v>
      </c>
    </row>
    <row r="47" ht="15" customHeight="1" s="195">
      <c r="A47" s="235" t="n">
        <v>8373792</v>
      </c>
      <c r="B47" s="235" t="n">
        <v>5786604</v>
      </c>
      <c r="C47" s="235" t="inlineStr">
        <is>
          <t>Caucasian</t>
        </is>
      </c>
      <c r="D47" s="235" t="inlineStr">
        <is>
          <t>Female</t>
        </is>
      </c>
      <c r="E47" s="235" t="inlineStr">
        <is>
          <t>[80-90)</t>
        </is>
      </c>
      <c r="F47" s="235" t="n">
        <v>11</v>
      </c>
      <c r="G47" s="235" t="inlineStr">
        <is>
          <t>InternalMedicine</t>
        </is>
      </c>
      <c r="H47" s="235" t="n">
        <v>69</v>
      </c>
      <c r="I47" s="235" t="n">
        <v>0</v>
      </c>
      <c r="J47" s="235" t="n">
        <v>21</v>
      </c>
      <c r="K47" s="235" t="n">
        <v>0</v>
      </c>
      <c r="L47" s="235" t="n">
        <v>0</v>
      </c>
      <c r="M47" s="235" t="n">
        <v>0</v>
      </c>
      <c r="N47" s="235" t="n">
        <v>9</v>
      </c>
      <c r="O47" s="235" t="inlineStr">
        <is>
          <t>Ch</t>
        </is>
      </c>
      <c r="P47" s="235" t="inlineStr">
        <is>
          <t>Yes</t>
        </is>
      </c>
      <c r="Q47" s="252" t="n">
        <v>1</v>
      </c>
    </row>
    <row r="48" ht="15" customHeight="1" s="195">
      <c r="A48" s="237" t="n">
        <v>207213234</v>
      </c>
      <c r="B48" s="237" t="n">
        <v>88533495</v>
      </c>
      <c r="C48" s="237" t="inlineStr">
        <is>
          <t>Caucasian</t>
        </is>
      </c>
      <c r="D48" s="237" t="inlineStr">
        <is>
          <t>Male</t>
        </is>
      </c>
      <c r="E48" s="237" t="inlineStr">
        <is>
          <t>[40-50)</t>
        </is>
      </c>
      <c r="F48" s="237" t="n">
        <v>2</v>
      </c>
      <c r="G48" s="237" t="inlineStr">
        <is>
          <t>Emergency/Trauma</t>
        </is>
      </c>
      <c r="H48" s="237" t="n">
        <v>50</v>
      </c>
      <c r="I48" s="237" t="n">
        <v>0</v>
      </c>
      <c r="J48" s="237" t="n">
        <v>11</v>
      </c>
      <c r="K48" s="237" t="n">
        <v>0</v>
      </c>
      <c r="L48" s="237" t="n">
        <v>0</v>
      </c>
      <c r="M48" s="237" t="n">
        <v>4</v>
      </c>
      <c r="N48" s="237" t="n">
        <v>9</v>
      </c>
      <c r="O48" s="237" t="inlineStr">
        <is>
          <t>Ch</t>
        </is>
      </c>
      <c r="P48" s="237" t="inlineStr">
        <is>
          <t>Yes</t>
        </is>
      </c>
      <c r="Q48" s="252" t="n">
        <v>1</v>
      </c>
    </row>
    <row r="49" ht="15" customHeight="1" s="195">
      <c r="A49" s="235" t="n">
        <v>200837586</v>
      </c>
      <c r="B49" s="235" t="n">
        <v>105754149</v>
      </c>
      <c r="C49" s="235" t="inlineStr">
        <is>
          <t>Caucasian</t>
        </is>
      </c>
      <c r="D49" s="235" t="inlineStr">
        <is>
          <t>Female</t>
        </is>
      </c>
      <c r="E49" s="235" t="inlineStr">
        <is>
          <t>[70-80)</t>
        </is>
      </c>
      <c r="F49" s="235" t="n">
        <v>14</v>
      </c>
      <c r="G49" s="235" t="inlineStr">
        <is>
          <t>?</t>
        </is>
      </c>
      <c r="H49" s="235" t="n">
        <v>53</v>
      </c>
      <c r="I49" s="235" t="n">
        <v>1</v>
      </c>
      <c r="J49" s="235" t="n">
        <v>23</v>
      </c>
      <c r="K49" s="235" t="n">
        <v>2</v>
      </c>
      <c r="L49" s="235" t="n">
        <v>2</v>
      </c>
      <c r="M49" s="235" t="n">
        <v>3</v>
      </c>
      <c r="N49" s="235" t="n">
        <v>9</v>
      </c>
      <c r="O49" s="235" t="inlineStr">
        <is>
          <t>Ch</t>
        </is>
      </c>
      <c r="P49" s="235" t="inlineStr">
        <is>
          <t>Yes</t>
        </is>
      </c>
      <c r="Q49" s="253" t="n">
        <v>0</v>
      </c>
    </row>
    <row r="50" ht="15" customHeight="1" s="195">
      <c r="A50" s="237" t="n">
        <v>136454292</v>
      </c>
      <c r="B50" s="237" t="n">
        <v>77882994</v>
      </c>
      <c r="C50" s="237" t="inlineStr">
        <is>
          <t>Caucasian</t>
        </is>
      </c>
      <c r="D50" s="237" t="inlineStr">
        <is>
          <t>Male</t>
        </is>
      </c>
      <c r="E50" s="237" t="inlineStr">
        <is>
          <t>[40-50)</t>
        </is>
      </c>
      <c r="F50" s="237" t="n">
        <v>1</v>
      </c>
      <c r="G50" s="237" t="inlineStr">
        <is>
          <t>Orthopedics</t>
        </is>
      </c>
      <c r="H50" s="237" t="n">
        <v>31</v>
      </c>
      <c r="I50" s="237" t="n">
        <v>2</v>
      </c>
      <c r="J50" s="237" t="n">
        <v>4</v>
      </c>
      <c r="K50" s="237" t="n">
        <v>0</v>
      </c>
      <c r="L50" s="237" t="n">
        <v>0</v>
      </c>
      <c r="M50" s="237" t="n">
        <v>0</v>
      </c>
      <c r="N50" s="237" t="n">
        <v>5</v>
      </c>
      <c r="O50" s="237" t="inlineStr">
        <is>
          <t>No</t>
        </is>
      </c>
      <c r="P50" s="237" t="inlineStr">
        <is>
          <t>No</t>
        </is>
      </c>
      <c r="Q50" s="253" t="n">
        <v>0</v>
      </c>
    </row>
    <row r="51" ht="21.75" customHeight="1" s="195">
      <c r="A51" s="235" t="n">
        <v>31394058</v>
      </c>
      <c r="B51" s="235" t="n">
        <v>125793</v>
      </c>
      <c r="C51" s="235" t="inlineStr">
        <is>
          <t>AfricanAmerican</t>
        </is>
      </c>
      <c r="D51" s="235" t="inlineStr">
        <is>
          <t>Female</t>
        </is>
      </c>
      <c r="E51" s="235" t="inlineStr">
        <is>
          <t>[30-40)</t>
        </is>
      </c>
      <c r="F51" s="235" t="n">
        <v>12</v>
      </c>
      <c r="G51" s="235" t="inlineStr">
        <is>
          <t>PhysicalMedicineandRehabilitation</t>
        </is>
      </c>
      <c r="H51" s="235" t="n">
        <v>43</v>
      </c>
      <c r="I51" s="235" t="n">
        <v>0</v>
      </c>
      <c r="J51" s="235" t="n">
        <v>23</v>
      </c>
      <c r="K51" s="235" t="n">
        <v>0</v>
      </c>
      <c r="L51" s="235" t="n">
        <v>0</v>
      </c>
      <c r="M51" s="235" t="n">
        <v>0</v>
      </c>
      <c r="N51" s="235" t="n">
        <v>9</v>
      </c>
      <c r="O51" s="235" t="inlineStr">
        <is>
          <t>Ch</t>
        </is>
      </c>
      <c r="P51" s="235" t="inlineStr">
        <is>
          <t>Yes</t>
        </is>
      </c>
      <c r="Q51" s="252" t="n">
        <v>1</v>
      </c>
    </row>
    <row r="52" ht="15" customHeight="1" s="195">
      <c r="A52" s="237" t="n">
        <v>162161928</v>
      </c>
      <c r="B52" s="237" t="n">
        <v>69247665</v>
      </c>
      <c r="C52" s="237" t="inlineStr">
        <is>
          <t>Caucasian</t>
        </is>
      </c>
      <c r="D52" s="237" t="inlineStr">
        <is>
          <t>Male</t>
        </is>
      </c>
      <c r="E52" s="237" t="inlineStr">
        <is>
          <t>[60-70)</t>
        </is>
      </c>
      <c r="F52" s="237" t="n">
        <v>4</v>
      </c>
      <c r="G52" s="237" t="inlineStr">
        <is>
          <t>Orthopedics</t>
        </is>
      </c>
      <c r="H52" s="237" t="n">
        <v>35</v>
      </c>
      <c r="I52" s="237" t="n">
        <v>1</v>
      </c>
      <c r="J52" s="237" t="n">
        <v>24</v>
      </c>
      <c r="K52" s="237" t="n">
        <v>0</v>
      </c>
      <c r="L52" s="237" t="n">
        <v>0</v>
      </c>
      <c r="M52" s="237" t="n">
        <v>0</v>
      </c>
      <c r="N52" s="237" t="n">
        <v>7</v>
      </c>
      <c r="O52" s="237" t="inlineStr">
        <is>
          <t>Ch</t>
        </is>
      </c>
      <c r="P52" s="237" t="inlineStr">
        <is>
          <t>Yes</t>
        </is>
      </c>
      <c r="Q52" s="253" t="n">
        <v>0</v>
      </c>
    </row>
    <row r="53" ht="15" customHeight="1" s="195">
      <c r="A53" s="235" t="n">
        <v>82227108</v>
      </c>
      <c r="B53" s="235" t="n">
        <v>23752197</v>
      </c>
      <c r="C53" s="235" t="inlineStr">
        <is>
          <t>Caucasian</t>
        </is>
      </c>
      <c r="D53" s="235" t="inlineStr">
        <is>
          <t>Female</t>
        </is>
      </c>
      <c r="E53" s="235" t="inlineStr">
        <is>
          <t>[70-80)</t>
        </is>
      </c>
      <c r="F53" s="235" t="n">
        <v>4</v>
      </c>
      <c r="G53" s="235" t="inlineStr">
        <is>
          <t>Family/GeneralPractice</t>
        </is>
      </c>
      <c r="H53" s="235" t="n">
        <v>23</v>
      </c>
      <c r="I53" s="235" t="n">
        <v>0</v>
      </c>
      <c r="J53" s="235" t="n">
        <v>23</v>
      </c>
      <c r="K53" s="235" t="n">
        <v>1</v>
      </c>
      <c r="L53" s="235" t="n">
        <v>0</v>
      </c>
      <c r="M53" s="235" t="n">
        <v>0</v>
      </c>
      <c r="N53" s="235" t="n">
        <v>9</v>
      </c>
      <c r="O53" s="235" t="inlineStr">
        <is>
          <t>Ch</t>
        </is>
      </c>
      <c r="P53" s="235" t="inlineStr">
        <is>
          <t>Yes</t>
        </is>
      </c>
      <c r="Q53" s="252" t="n">
        <v>1</v>
      </c>
    </row>
    <row r="54" ht="15" customHeight="1" s="195">
      <c r="A54" s="237" t="n">
        <v>398420816</v>
      </c>
      <c r="B54" s="237" t="n">
        <v>58554945</v>
      </c>
      <c r="C54" s="237" t="inlineStr">
        <is>
          <t>AfricanAmerican</t>
        </is>
      </c>
      <c r="D54" s="237" t="inlineStr">
        <is>
          <t>Male</t>
        </is>
      </c>
      <c r="E54" s="237" t="inlineStr">
        <is>
          <t>[50-60)</t>
        </is>
      </c>
      <c r="F54" s="237" t="n">
        <v>2</v>
      </c>
      <c r="G54" s="237" t="inlineStr">
        <is>
          <t>?</t>
        </is>
      </c>
      <c r="H54" s="237" t="n">
        <v>36</v>
      </c>
      <c r="I54" s="237" t="n">
        <v>0</v>
      </c>
      <c r="J54" s="237" t="n">
        <v>8</v>
      </c>
      <c r="K54" s="237" t="n">
        <v>0</v>
      </c>
      <c r="L54" s="237" t="n">
        <v>0</v>
      </c>
      <c r="M54" s="237" t="n">
        <v>0</v>
      </c>
      <c r="N54" s="237" t="n">
        <v>9</v>
      </c>
      <c r="O54" s="237" t="inlineStr">
        <is>
          <t>Ch</t>
        </is>
      </c>
      <c r="P54" s="237" t="inlineStr">
        <is>
          <t>Yes</t>
        </is>
      </c>
      <c r="Q54" s="253" t="n">
        <v>0</v>
      </c>
    </row>
    <row r="55" ht="15" customHeight="1" s="195">
      <c r="A55" s="235" t="n">
        <v>22593288</v>
      </c>
      <c r="B55" s="235" t="n">
        <v>1267371</v>
      </c>
      <c r="C55" s="235" t="inlineStr">
        <is>
          <t>Caucasian</t>
        </is>
      </c>
      <c r="D55" s="235" t="inlineStr">
        <is>
          <t>Female</t>
        </is>
      </c>
      <c r="E55" s="235" t="inlineStr">
        <is>
          <t>[80-90)</t>
        </is>
      </c>
      <c r="F55" s="235" t="n">
        <v>14</v>
      </c>
      <c r="G55" s="235" t="inlineStr">
        <is>
          <t>?</t>
        </is>
      </c>
      <c r="H55" s="235" t="n">
        <v>61</v>
      </c>
      <c r="I55" s="235" t="n">
        <v>2</v>
      </c>
      <c r="J55" s="235" t="n">
        <v>25</v>
      </c>
      <c r="K55" s="235" t="n">
        <v>0</v>
      </c>
      <c r="L55" s="235" t="n">
        <v>0</v>
      </c>
      <c r="M55" s="235" t="n">
        <v>0</v>
      </c>
      <c r="N55" s="235" t="n">
        <v>4</v>
      </c>
      <c r="O55" s="235" t="inlineStr">
        <is>
          <t>Ch</t>
        </is>
      </c>
      <c r="P55" s="235" t="inlineStr">
        <is>
          <t>Yes</t>
        </is>
      </c>
      <c r="Q55" s="252" t="n">
        <v>1</v>
      </c>
    </row>
    <row r="56" ht="15" customHeight="1" s="195">
      <c r="A56" s="237" t="n">
        <v>147886380</v>
      </c>
      <c r="B56" s="237" t="n">
        <v>76989033</v>
      </c>
      <c r="C56" s="237" t="inlineStr">
        <is>
          <t>Caucasian</t>
        </is>
      </c>
      <c r="D56" s="237" t="inlineStr">
        <is>
          <t>Female</t>
        </is>
      </c>
      <c r="E56" s="237" t="inlineStr">
        <is>
          <t>[60-70)</t>
        </is>
      </c>
      <c r="F56" s="237" t="n">
        <v>5</v>
      </c>
      <c r="G56" s="237" t="inlineStr">
        <is>
          <t>?</t>
        </is>
      </c>
      <c r="H56" s="237" t="n">
        <v>39</v>
      </c>
      <c r="I56" s="237" t="n">
        <v>0</v>
      </c>
      <c r="J56" s="237" t="n">
        <v>12</v>
      </c>
      <c r="K56" s="237" t="n">
        <v>1</v>
      </c>
      <c r="L56" s="237" t="n">
        <v>0</v>
      </c>
      <c r="M56" s="237" t="n">
        <v>3</v>
      </c>
      <c r="N56" s="237" t="n">
        <v>9</v>
      </c>
      <c r="O56" s="237" t="inlineStr">
        <is>
          <t>No</t>
        </is>
      </c>
      <c r="P56" s="237" t="inlineStr">
        <is>
          <t>Yes</t>
        </is>
      </c>
      <c r="Q56" s="253" t="n">
        <v>0</v>
      </c>
    </row>
    <row r="57" ht="15" customHeight="1" s="195">
      <c r="A57" s="235" t="n">
        <v>105521166</v>
      </c>
      <c r="B57" s="235" t="n">
        <v>23838966</v>
      </c>
      <c r="C57" s="235" t="inlineStr">
        <is>
          <t>Caucasian</t>
        </is>
      </c>
      <c r="D57" s="235" t="inlineStr">
        <is>
          <t>Male</t>
        </is>
      </c>
      <c r="E57" s="235" t="inlineStr">
        <is>
          <t>[50-60)</t>
        </is>
      </c>
      <c r="F57" s="235" t="n">
        <v>5</v>
      </c>
      <c r="G57" s="235" t="inlineStr">
        <is>
          <t>Family/GeneralPractice</t>
        </is>
      </c>
      <c r="H57" s="235" t="n">
        <v>16</v>
      </c>
      <c r="I57" s="235" t="n">
        <v>0</v>
      </c>
      <c r="J57" s="235" t="n">
        <v>19</v>
      </c>
      <c r="K57" s="235" t="n">
        <v>2</v>
      </c>
      <c r="L57" s="235" t="n">
        <v>0</v>
      </c>
      <c r="M57" s="235" t="n">
        <v>1</v>
      </c>
      <c r="N57" s="235" t="n">
        <v>9</v>
      </c>
      <c r="O57" s="235" t="inlineStr">
        <is>
          <t>Ch</t>
        </is>
      </c>
      <c r="P57" s="235" t="inlineStr">
        <is>
          <t>Yes</t>
        </is>
      </c>
      <c r="Q57" s="253" t="n">
        <v>0</v>
      </c>
    </row>
    <row r="58" ht="15" customHeight="1" s="195">
      <c r="A58" s="237" t="n">
        <v>218893608</v>
      </c>
      <c r="B58" s="237" t="n">
        <v>87406128</v>
      </c>
      <c r="C58" s="237" t="inlineStr">
        <is>
          <t>Caucasian</t>
        </is>
      </c>
      <c r="D58" s="237" t="inlineStr">
        <is>
          <t>Male</t>
        </is>
      </c>
      <c r="E58" s="237" t="inlineStr">
        <is>
          <t>[40-50)</t>
        </is>
      </c>
      <c r="F58" s="237" t="n">
        <v>2</v>
      </c>
      <c r="G58" s="237" t="inlineStr">
        <is>
          <t>?</t>
        </is>
      </c>
      <c r="H58" s="237" t="n">
        <v>49</v>
      </c>
      <c r="I58" s="237" t="n">
        <v>0</v>
      </c>
      <c r="J58" s="237" t="n">
        <v>17</v>
      </c>
      <c r="K58" s="237" t="n">
        <v>6</v>
      </c>
      <c r="L58" s="237" t="n">
        <v>1</v>
      </c>
      <c r="M58" s="237" t="n">
        <v>0</v>
      </c>
      <c r="N58" s="237" t="n">
        <v>9</v>
      </c>
      <c r="O58" s="237" t="inlineStr">
        <is>
          <t>Ch</t>
        </is>
      </c>
      <c r="P58" s="237" t="inlineStr">
        <is>
          <t>Yes</t>
        </is>
      </c>
      <c r="Q58" s="252" t="n">
        <v>1</v>
      </c>
    </row>
    <row r="59" ht="15" customHeight="1" s="195">
      <c r="A59" s="235" t="n">
        <v>421950308</v>
      </c>
      <c r="B59" s="235" t="n">
        <v>54489555</v>
      </c>
      <c r="C59" s="235" t="inlineStr">
        <is>
          <t>Caucasian</t>
        </is>
      </c>
      <c r="D59" s="235" t="inlineStr">
        <is>
          <t>Female</t>
        </is>
      </c>
      <c r="E59" s="235" t="inlineStr">
        <is>
          <t>[80-90)</t>
        </is>
      </c>
      <c r="F59" s="235" t="n">
        <v>2</v>
      </c>
      <c r="G59" s="235" t="inlineStr">
        <is>
          <t>?</t>
        </is>
      </c>
      <c r="H59" s="235" t="n">
        <v>45</v>
      </c>
      <c r="I59" s="235" t="n">
        <v>0</v>
      </c>
      <c r="J59" s="235" t="n">
        <v>16</v>
      </c>
      <c r="K59" s="235" t="n">
        <v>0</v>
      </c>
      <c r="L59" s="235" t="n">
        <v>0</v>
      </c>
      <c r="M59" s="235" t="n">
        <v>0</v>
      </c>
      <c r="N59" s="235" t="n">
        <v>9</v>
      </c>
      <c r="O59" s="235" t="inlineStr">
        <is>
          <t>No</t>
        </is>
      </c>
      <c r="P59" s="235" t="inlineStr">
        <is>
          <t>No</t>
        </is>
      </c>
      <c r="Q59" s="252" t="n">
        <v>1</v>
      </c>
    </row>
    <row r="60" ht="15" customHeight="1" s="195">
      <c r="A60" s="237" t="n">
        <v>269085480</v>
      </c>
      <c r="B60" s="237" t="n">
        <v>106004268</v>
      </c>
      <c r="C60" s="237" t="inlineStr">
        <is>
          <t>Caucasian</t>
        </is>
      </c>
      <c r="D60" s="237" t="inlineStr">
        <is>
          <t>Female</t>
        </is>
      </c>
      <c r="E60" s="237" t="inlineStr">
        <is>
          <t>[70-80)</t>
        </is>
      </c>
      <c r="F60" s="237" t="n">
        <v>2</v>
      </c>
      <c r="G60" s="237" t="inlineStr">
        <is>
          <t>?</t>
        </is>
      </c>
      <c r="H60" s="237" t="n">
        <v>44</v>
      </c>
      <c r="I60" s="237" t="n">
        <v>1</v>
      </c>
      <c r="J60" s="237" t="n">
        <v>12</v>
      </c>
      <c r="K60" s="237" t="n">
        <v>3</v>
      </c>
      <c r="L60" s="237" t="n">
        <v>0</v>
      </c>
      <c r="M60" s="237" t="n">
        <v>0</v>
      </c>
      <c r="N60" s="237" t="n">
        <v>9</v>
      </c>
      <c r="O60" s="237" t="inlineStr">
        <is>
          <t>No</t>
        </is>
      </c>
      <c r="P60" s="237" t="inlineStr">
        <is>
          <t>No</t>
        </is>
      </c>
      <c r="Q60" s="252" t="n">
        <v>1</v>
      </c>
    </row>
    <row r="61" ht="15" customHeight="1" s="195">
      <c r="A61" s="235" t="n">
        <v>154887756</v>
      </c>
      <c r="B61" s="235" t="n">
        <v>108750861</v>
      </c>
      <c r="C61" s="235" t="inlineStr">
        <is>
          <t>Caucasian</t>
        </is>
      </c>
      <c r="D61" s="235" t="inlineStr">
        <is>
          <t>Male</t>
        </is>
      </c>
      <c r="E61" s="235" t="inlineStr">
        <is>
          <t>[40-50)</t>
        </is>
      </c>
      <c r="F61" s="235" t="n">
        <v>1</v>
      </c>
      <c r="G61" s="235" t="inlineStr">
        <is>
          <t>Emergency/Trauma</t>
        </is>
      </c>
      <c r="H61" s="235" t="n">
        <v>1</v>
      </c>
      <c r="I61" s="235" t="n">
        <v>0</v>
      </c>
      <c r="J61" s="235" t="n">
        <v>8</v>
      </c>
      <c r="K61" s="235" t="n">
        <v>0</v>
      </c>
      <c r="L61" s="235" t="n">
        <v>0</v>
      </c>
      <c r="M61" s="235" t="n">
        <v>0</v>
      </c>
      <c r="N61" s="235" t="n">
        <v>5</v>
      </c>
      <c r="O61" s="235" t="inlineStr">
        <is>
          <t>No</t>
        </is>
      </c>
      <c r="P61" s="235" t="inlineStr">
        <is>
          <t>Yes</t>
        </is>
      </c>
      <c r="Q61" s="253" t="n">
        <v>0</v>
      </c>
    </row>
    <row r="62" ht="15" customHeight="1" s="195">
      <c r="A62" s="237" t="n">
        <v>378500078</v>
      </c>
      <c r="B62" s="237" t="n">
        <v>78971220</v>
      </c>
      <c r="C62" s="237" t="inlineStr">
        <is>
          <t>Caucasian</t>
        </is>
      </c>
      <c r="D62" s="237" t="inlineStr">
        <is>
          <t>Male</t>
        </is>
      </c>
      <c r="E62" s="237" t="inlineStr">
        <is>
          <t>[50-60)</t>
        </is>
      </c>
      <c r="F62" s="237" t="n">
        <v>2</v>
      </c>
      <c r="G62" s="237" t="inlineStr">
        <is>
          <t>Gastroenterology</t>
        </is>
      </c>
      <c r="H62" s="237" t="n">
        <v>2</v>
      </c>
      <c r="I62" s="237" t="n">
        <v>0</v>
      </c>
      <c r="J62" s="237" t="n">
        <v>11</v>
      </c>
      <c r="K62" s="237" t="n">
        <v>0</v>
      </c>
      <c r="L62" s="237" t="n">
        <v>0</v>
      </c>
      <c r="M62" s="237" t="n">
        <v>4</v>
      </c>
      <c r="N62" s="237" t="n">
        <v>9</v>
      </c>
      <c r="O62" s="237" t="inlineStr">
        <is>
          <t>No</t>
        </is>
      </c>
      <c r="P62" s="237" t="inlineStr">
        <is>
          <t>No</t>
        </is>
      </c>
      <c r="Q62" s="253" t="n">
        <v>0</v>
      </c>
    </row>
    <row r="63" ht="15" customHeight="1" s="195">
      <c r="A63" s="235" t="n">
        <v>174157656</v>
      </c>
      <c r="B63" s="235" t="n">
        <v>78156675</v>
      </c>
      <c r="C63" s="235" t="inlineStr">
        <is>
          <t>Caucasian</t>
        </is>
      </c>
      <c r="D63" s="235" t="inlineStr">
        <is>
          <t>Female</t>
        </is>
      </c>
      <c r="E63" s="235" t="inlineStr">
        <is>
          <t>[50-60)</t>
        </is>
      </c>
      <c r="F63" s="235" t="n">
        <v>2</v>
      </c>
      <c r="G63" s="235" t="inlineStr">
        <is>
          <t>Nephrology</t>
        </is>
      </c>
      <c r="H63" s="235" t="n">
        <v>32</v>
      </c>
      <c r="I63" s="235" t="n">
        <v>1</v>
      </c>
      <c r="J63" s="235" t="n">
        <v>26</v>
      </c>
      <c r="K63" s="235" t="n">
        <v>0</v>
      </c>
      <c r="L63" s="235" t="n">
        <v>0</v>
      </c>
      <c r="M63" s="235" t="n">
        <v>2</v>
      </c>
      <c r="N63" s="235" t="n">
        <v>9</v>
      </c>
      <c r="O63" s="235" t="inlineStr">
        <is>
          <t>Ch</t>
        </is>
      </c>
      <c r="P63" s="235" t="inlineStr">
        <is>
          <t>Yes</t>
        </is>
      </c>
      <c r="Q63" s="253" t="n">
        <v>0</v>
      </c>
    </row>
    <row r="64" ht="15" customHeight="1" s="195">
      <c r="A64" s="237" t="n">
        <v>179153436</v>
      </c>
      <c r="B64" s="237" t="n">
        <v>54479349</v>
      </c>
      <c r="C64" s="237" t="inlineStr">
        <is>
          <t>Caucasian</t>
        </is>
      </c>
      <c r="D64" s="237" t="inlineStr">
        <is>
          <t>Female</t>
        </is>
      </c>
      <c r="E64" s="237" t="inlineStr">
        <is>
          <t>[70-80)</t>
        </is>
      </c>
      <c r="F64" s="237" t="n">
        <v>3</v>
      </c>
      <c r="G64" s="237" t="inlineStr">
        <is>
          <t>?</t>
        </is>
      </c>
      <c r="H64" s="237" t="n">
        <v>45</v>
      </c>
      <c r="I64" s="237" t="n">
        <v>0</v>
      </c>
      <c r="J64" s="237" t="n">
        <v>9</v>
      </c>
      <c r="K64" s="237" t="n">
        <v>1</v>
      </c>
      <c r="L64" s="237" t="n">
        <v>0</v>
      </c>
      <c r="M64" s="237" t="n">
        <v>0</v>
      </c>
      <c r="N64" s="237" t="n">
        <v>8</v>
      </c>
      <c r="O64" s="237" t="inlineStr">
        <is>
          <t>Ch</t>
        </is>
      </c>
      <c r="P64" s="237" t="inlineStr">
        <is>
          <t>Yes</t>
        </is>
      </c>
      <c r="Q64" s="252" t="n">
        <v>1</v>
      </c>
    </row>
    <row r="65" ht="15" customHeight="1" s="195">
      <c r="A65" s="235" t="n">
        <v>166997670</v>
      </c>
      <c r="B65" s="235" t="n">
        <v>28282203</v>
      </c>
      <c r="C65" s="235" t="inlineStr">
        <is>
          <t>Caucasian</t>
        </is>
      </c>
      <c r="D65" s="235" t="inlineStr">
        <is>
          <t>Female</t>
        </is>
      </c>
      <c r="E65" s="235" t="inlineStr">
        <is>
          <t>[60-70)</t>
        </is>
      </c>
      <c r="F65" s="235" t="n">
        <v>5</v>
      </c>
      <c r="G65" s="235" t="inlineStr">
        <is>
          <t>Emergency/Trauma</t>
        </is>
      </c>
      <c r="H65" s="235" t="n">
        <v>51</v>
      </c>
      <c r="I65" s="235" t="n">
        <v>0</v>
      </c>
      <c r="J65" s="235" t="n">
        <v>26</v>
      </c>
      <c r="K65" s="235" t="n">
        <v>0</v>
      </c>
      <c r="L65" s="235" t="n">
        <v>0</v>
      </c>
      <c r="M65" s="235" t="n">
        <v>0</v>
      </c>
      <c r="N65" s="235" t="n">
        <v>9</v>
      </c>
      <c r="O65" s="235" t="inlineStr">
        <is>
          <t>No</t>
        </is>
      </c>
      <c r="P65" s="235" t="inlineStr">
        <is>
          <t>Yes</t>
        </is>
      </c>
      <c r="Q65" s="252" t="n">
        <v>1</v>
      </c>
    </row>
    <row r="66" ht="15" customHeight="1" s="195">
      <c r="A66" s="237" t="n">
        <v>163351362</v>
      </c>
      <c r="B66" s="237" t="n">
        <v>43048197</v>
      </c>
      <c r="C66" s="237" t="inlineStr">
        <is>
          <t>Caucasian</t>
        </is>
      </c>
      <c r="D66" s="237" t="inlineStr">
        <is>
          <t>Male</t>
        </is>
      </c>
      <c r="E66" s="237" t="inlineStr">
        <is>
          <t>[50-60)</t>
        </is>
      </c>
      <c r="F66" s="237" t="n">
        <v>5</v>
      </c>
      <c r="G66" s="237" t="inlineStr">
        <is>
          <t>?</t>
        </is>
      </c>
      <c r="H66" s="237" t="n">
        <v>28</v>
      </c>
      <c r="I66" s="237" t="n">
        <v>0</v>
      </c>
      <c r="J66" s="237" t="n">
        <v>25</v>
      </c>
      <c r="K66" s="237" t="n">
        <v>1</v>
      </c>
      <c r="L66" s="237" t="n">
        <v>0</v>
      </c>
      <c r="M66" s="237" t="n">
        <v>0</v>
      </c>
      <c r="N66" s="237" t="n">
        <v>9</v>
      </c>
      <c r="O66" s="237" t="inlineStr">
        <is>
          <t>Ch</t>
        </is>
      </c>
      <c r="P66" s="237" t="inlineStr">
        <is>
          <t>Yes</t>
        </is>
      </c>
      <c r="Q66" s="253" t="n">
        <v>0</v>
      </c>
    </row>
    <row r="67" ht="15" customHeight="1" s="195">
      <c r="A67" s="235" t="n">
        <v>157160172</v>
      </c>
      <c r="B67" s="235" t="n">
        <v>94798998</v>
      </c>
      <c r="C67" s="235" t="inlineStr">
        <is>
          <t>Caucasian</t>
        </is>
      </c>
      <c r="D67" s="235" t="inlineStr">
        <is>
          <t>Male</t>
        </is>
      </c>
      <c r="E67" s="235" t="inlineStr">
        <is>
          <t>[80-90)</t>
        </is>
      </c>
      <c r="F67" s="235" t="n">
        <v>10</v>
      </c>
      <c r="G67" s="235" t="inlineStr">
        <is>
          <t>Emergency/Trauma</t>
        </is>
      </c>
      <c r="H67" s="235" t="n">
        <v>71</v>
      </c>
      <c r="I67" s="235" t="n">
        <v>1</v>
      </c>
      <c r="J67" s="235" t="n">
        <v>22</v>
      </c>
      <c r="K67" s="235" t="n">
        <v>0</v>
      </c>
      <c r="L67" s="235" t="n">
        <v>1</v>
      </c>
      <c r="M67" s="235" t="n">
        <v>0</v>
      </c>
      <c r="N67" s="235" t="n">
        <v>9</v>
      </c>
      <c r="O67" s="235" t="inlineStr">
        <is>
          <t>Ch</t>
        </is>
      </c>
      <c r="P67" s="235" t="inlineStr">
        <is>
          <t>Yes</t>
        </is>
      </c>
      <c r="Q67" s="252" t="n">
        <v>1</v>
      </c>
    </row>
    <row r="68" ht="15" customHeight="1" s="195">
      <c r="A68" s="237" t="n">
        <v>222518676</v>
      </c>
      <c r="B68" s="237" t="n">
        <v>87060942</v>
      </c>
      <c r="C68" s="237" t="inlineStr">
        <is>
          <t>Caucasian</t>
        </is>
      </c>
      <c r="D68" s="237" t="inlineStr">
        <is>
          <t>Female</t>
        </is>
      </c>
      <c r="E68" s="237" t="inlineStr">
        <is>
          <t>[50-60)</t>
        </is>
      </c>
      <c r="F68" s="237" t="n">
        <v>6</v>
      </c>
      <c r="G68" s="237" t="inlineStr">
        <is>
          <t>?</t>
        </is>
      </c>
      <c r="H68" s="237" t="n">
        <v>63</v>
      </c>
      <c r="I68" s="237" t="n">
        <v>0</v>
      </c>
      <c r="J68" s="237" t="n">
        <v>21</v>
      </c>
      <c r="K68" s="237" t="n">
        <v>0</v>
      </c>
      <c r="L68" s="237" t="n">
        <v>3</v>
      </c>
      <c r="M68" s="237" t="n">
        <v>6</v>
      </c>
      <c r="N68" s="237" t="n">
        <v>9</v>
      </c>
      <c r="O68" s="237" t="inlineStr">
        <is>
          <t>No</t>
        </is>
      </c>
      <c r="P68" s="237" t="inlineStr">
        <is>
          <t>Yes</t>
        </is>
      </c>
      <c r="Q68" s="252" t="n">
        <v>1</v>
      </c>
    </row>
    <row r="69" ht="15" customHeight="1" s="195">
      <c r="A69" s="235" t="n">
        <v>81590094</v>
      </c>
      <c r="B69" s="235" t="n">
        <v>20137068</v>
      </c>
      <c r="C69" s="235" t="inlineStr">
        <is>
          <t>AfricanAmerican</t>
        </is>
      </c>
      <c r="D69" s="235" t="inlineStr">
        <is>
          <t>Female</t>
        </is>
      </c>
      <c r="E69" s="235" t="inlineStr">
        <is>
          <t>[70-80)</t>
        </is>
      </c>
      <c r="F69" s="235" t="n">
        <v>13</v>
      </c>
      <c r="G69" s="235" t="inlineStr">
        <is>
          <t>Orthopedics</t>
        </is>
      </c>
      <c r="H69" s="235" t="n">
        <v>66</v>
      </c>
      <c r="I69" s="235" t="n">
        <v>4</v>
      </c>
      <c r="J69" s="235" t="n">
        <v>38</v>
      </c>
      <c r="K69" s="235" t="n">
        <v>0</v>
      </c>
      <c r="L69" s="235" t="n">
        <v>0</v>
      </c>
      <c r="M69" s="235" t="n">
        <v>3</v>
      </c>
      <c r="N69" s="235" t="n">
        <v>8</v>
      </c>
      <c r="O69" s="235" t="inlineStr">
        <is>
          <t>Ch</t>
        </is>
      </c>
      <c r="P69" s="235" t="inlineStr">
        <is>
          <t>Yes</t>
        </is>
      </c>
      <c r="Q69" s="252" t="n">
        <v>1</v>
      </c>
    </row>
    <row r="70" ht="15" customHeight="1" s="195">
      <c r="A70" s="237" t="n">
        <v>110344278</v>
      </c>
      <c r="B70" s="237" t="n">
        <v>11843568</v>
      </c>
      <c r="C70" s="237" t="inlineStr">
        <is>
          <t>AfricanAmerican</t>
        </is>
      </c>
      <c r="D70" s="237" t="inlineStr">
        <is>
          <t>Female</t>
        </is>
      </c>
      <c r="E70" s="237" t="inlineStr">
        <is>
          <t>[60-70)</t>
        </is>
      </c>
      <c r="F70" s="237" t="n">
        <v>6</v>
      </c>
      <c r="G70" s="237" t="inlineStr">
        <is>
          <t>Nephrology</t>
        </is>
      </c>
      <c r="H70" s="237" t="n">
        <v>38</v>
      </c>
      <c r="I70" s="237" t="n">
        <v>3</v>
      </c>
      <c r="J70" s="237" t="n">
        <v>16</v>
      </c>
      <c r="K70" s="237" t="n">
        <v>0</v>
      </c>
      <c r="L70" s="237" t="n">
        <v>0</v>
      </c>
      <c r="M70" s="237" t="n">
        <v>1</v>
      </c>
      <c r="N70" s="237" t="n">
        <v>5</v>
      </c>
      <c r="O70" s="237" t="inlineStr">
        <is>
          <t>No</t>
        </is>
      </c>
      <c r="P70" s="237" t="inlineStr">
        <is>
          <t>Yes</t>
        </is>
      </c>
      <c r="Q70" s="253" t="n">
        <v>0</v>
      </c>
    </row>
    <row r="71" ht="15" customHeight="1" s="195">
      <c r="A71" s="235" t="n">
        <v>108267366</v>
      </c>
      <c r="B71" s="235" t="n">
        <v>114311223</v>
      </c>
      <c r="C71" s="235" t="inlineStr">
        <is>
          <t>Caucasian</t>
        </is>
      </c>
      <c r="D71" s="235" t="inlineStr">
        <is>
          <t>Female</t>
        </is>
      </c>
      <c r="E71" s="235" t="inlineStr">
        <is>
          <t>[60-70)</t>
        </is>
      </c>
      <c r="F71" s="235" t="n">
        <v>3</v>
      </c>
      <c r="G71" s="235" t="inlineStr">
        <is>
          <t>?</t>
        </is>
      </c>
      <c r="H71" s="235" t="n">
        <v>72</v>
      </c>
      <c r="I71" s="235" t="n">
        <v>3</v>
      </c>
      <c r="J71" s="235" t="n">
        <v>12</v>
      </c>
      <c r="K71" s="235" t="n">
        <v>0</v>
      </c>
      <c r="L71" s="235" t="n">
        <v>0</v>
      </c>
      <c r="M71" s="235" t="n">
        <v>0</v>
      </c>
      <c r="N71" s="235" t="n">
        <v>9</v>
      </c>
      <c r="O71" s="235" t="inlineStr">
        <is>
          <t>Ch</t>
        </is>
      </c>
      <c r="P71" s="235" t="inlineStr">
        <is>
          <t>Yes</t>
        </is>
      </c>
      <c r="Q71" s="253" t="n">
        <v>0</v>
      </c>
    </row>
    <row r="72" ht="15" customHeight="1" s="195">
      <c r="A72" s="237" t="n">
        <v>91421484</v>
      </c>
      <c r="B72" s="237" t="n">
        <v>59626791</v>
      </c>
      <c r="C72" s="237" t="inlineStr">
        <is>
          <t>Caucasian</t>
        </is>
      </c>
      <c r="D72" s="237" t="inlineStr">
        <is>
          <t>Female</t>
        </is>
      </c>
      <c r="E72" s="237" t="inlineStr">
        <is>
          <t>[50-60)</t>
        </is>
      </c>
      <c r="F72" s="237" t="n">
        <v>3</v>
      </c>
      <c r="G72" s="237" t="inlineStr">
        <is>
          <t>?</t>
        </is>
      </c>
      <c r="H72" s="237" t="n">
        <v>38</v>
      </c>
      <c r="I72" s="237" t="n">
        <v>0</v>
      </c>
      <c r="J72" s="237" t="n">
        <v>12</v>
      </c>
      <c r="K72" s="237" t="n">
        <v>1</v>
      </c>
      <c r="L72" s="237" t="n">
        <v>0</v>
      </c>
      <c r="M72" s="237" t="n">
        <v>0</v>
      </c>
      <c r="N72" s="237" t="n">
        <v>4</v>
      </c>
      <c r="O72" s="237" t="inlineStr">
        <is>
          <t>Ch</t>
        </is>
      </c>
      <c r="P72" s="237" t="inlineStr">
        <is>
          <t>Yes</t>
        </is>
      </c>
      <c r="Q72" s="253" t="n">
        <v>0</v>
      </c>
    </row>
    <row r="73" ht="15" customHeight="1" s="195">
      <c r="A73" s="235" t="n">
        <v>167619162</v>
      </c>
      <c r="B73" s="235" t="n">
        <v>55925532</v>
      </c>
      <c r="C73" s="235" t="inlineStr">
        <is>
          <t>AfricanAmerican</t>
        </is>
      </c>
      <c r="D73" s="235" t="inlineStr">
        <is>
          <t>Male</t>
        </is>
      </c>
      <c r="E73" s="235" t="inlineStr">
        <is>
          <t>[40-50)</t>
        </is>
      </c>
      <c r="F73" s="235" t="n">
        <v>4</v>
      </c>
      <c r="G73" s="235" t="inlineStr">
        <is>
          <t>?</t>
        </is>
      </c>
      <c r="H73" s="235" t="n">
        <v>69</v>
      </c>
      <c r="I73" s="235" t="n">
        <v>0</v>
      </c>
      <c r="J73" s="235" t="n">
        <v>18</v>
      </c>
      <c r="K73" s="235" t="n">
        <v>0</v>
      </c>
      <c r="L73" s="235" t="n">
        <v>0</v>
      </c>
      <c r="M73" s="235" t="n">
        <v>2</v>
      </c>
      <c r="N73" s="235" t="n">
        <v>9</v>
      </c>
      <c r="O73" s="235" t="inlineStr">
        <is>
          <t>Ch</t>
        </is>
      </c>
      <c r="P73" s="235" t="inlineStr">
        <is>
          <t>Yes</t>
        </is>
      </c>
      <c r="Q73" s="252" t="n">
        <v>1</v>
      </c>
    </row>
    <row r="74" ht="15" customHeight="1" s="195">
      <c r="A74" s="237" t="n">
        <v>404895698</v>
      </c>
      <c r="B74" s="237" t="n">
        <v>108025506</v>
      </c>
      <c r="C74" s="237" t="inlineStr">
        <is>
          <t>Caucasian</t>
        </is>
      </c>
      <c r="D74" s="237" t="inlineStr">
        <is>
          <t>Female</t>
        </is>
      </c>
      <c r="E74" s="237" t="inlineStr">
        <is>
          <t>[70-80)</t>
        </is>
      </c>
      <c r="F74" s="237" t="n">
        <v>5</v>
      </c>
      <c r="G74" s="237" t="inlineStr">
        <is>
          <t>Emergency/Trauma</t>
        </is>
      </c>
      <c r="H74" s="237" t="n">
        <v>38</v>
      </c>
      <c r="I74" s="237" t="n">
        <v>2</v>
      </c>
      <c r="J74" s="237" t="n">
        <v>12</v>
      </c>
      <c r="K74" s="237" t="n">
        <v>0</v>
      </c>
      <c r="L74" s="237" t="n">
        <v>0</v>
      </c>
      <c r="M74" s="237" t="n">
        <v>1</v>
      </c>
      <c r="N74" s="237" t="n">
        <v>7</v>
      </c>
      <c r="O74" s="237" t="inlineStr">
        <is>
          <t>No</t>
        </is>
      </c>
      <c r="P74" s="237" t="inlineStr">
        <is>
          <t>No</t>
        </is>
      </c>
      <c r="Q74" s="253" t="n">
        <v>0</v>
      </c>
    </row>
    <row r="75" ht="15" customHeight="1" s="195">
      <c r="A75" s="235" t="n">
        <v>164034198</v>
      </c>
      <c r="B75" s="235" t="n">
        <v>39863133</v>
      </c>
      <c r="C75" s="235" t="inlineStr">
        <is>
          <t>Caucasian</t>
        </is>
      </c>
      <c r="D75" s="235" t="inlineStr">
        <is>
          <t>Male</t>
        </is>
      </c>
      <c r="E75" s="235" t="inlineStr">
        <is>
          <t>[40-50)</t>
        </is>
      </c>
      <c r="F75" s="235" t="n">
        <v>4</v>
      </c>
      <c r="G75" s="235" t="inlineStr">
        <is>
          <t>Emergency/Trauma</t>
        </is>
      </c>
      <c r="H75" s="235" t="n">
        <v>35</v>
      </c>
      <c r="I75" s="235" t="n">
        <v>4</v>
      </c>
      <c r="J75" s="235" t="n">
        <v>13</v>
      </c>
      <c r="K75" s="235" t="n">
        <v>0</v>
      </c>
      <c r="L75" s="235" t="n">
        <v>0</v>
      </c>
      <c r="M75" s="235" t="n">
        <v>0</v>
      </c>
      <c r="N75" s="235" t="n">
        <v>6</v>
      </c>
      <c r="O75" s="235" t="inlineStr">
        <is>
          <t>Ch</t>
        </is>
      </c>
      <c r="P75" s="235" t="inlineStr">
        <is>
          <t>Yes</t>
        </is>
      </c>
      <c r="Q75" s="252" t="n">
        <v>1</v>
      </c>
    </row>
    <row r="76" ht="15" customHeight="1" s="195">
      <c r="A76" s="237" t="n">
        <v>330875210</v>
      </c>
      <c r="B76" s="237" t="n">
        <v>188903993</v>
      </c>
      <c r="C76" s="237" t="inlineStr">
        <is>
          <t>Caucasian</t>
        </is>
      </c>
      <c r="D76" s="237" t="inlineStr">
        <is>
          <t>Female</t>
        </is>
      </c>
      <c r="E76" s="237" t="inlineStr">
        <is>
          <t>[80-90)</t>
        </is>
      </c>
      <c r="F76" s="237" t="n">
        <v>2</v>
      </c>
      <c r="G76" s="237" t="inlineStr">
        <is>
          <t>?</t>
        </is>
      </c>
      <c r="H76" s="237" t="n">
        <v>37</v>
      </c>
      <c r="I76" s="237" t="n">
        <v>1</v>
      </c>
      <c r="J76" s="237" t="n">
        <v>13</v>
      </c>
      <c r="K76" s="237" t="n">
        <v>0</v>
      </c>
      <c r="L76" s="237" t="n">
        <v>0</v>
      </c>
      <c r="M76" s="237" t="n">
        <v>0</v>
      </c>
      <c r="N76" s="237" t="n">
        <v>9</v>
      </c>
      <c r="O76" s="237" t="inlineStr">
        <is>
          <t>Ch</t>
        </is>
      </c>
      <c r="P76" s="237" t="inlineStr">
        <is>
          <t>Yes</t>
        </is>
      </c>
      <c r="Q76" s="253" t="n">
        <v>0</v>
      </c>
    </row>
    <row r="77" ht="15" customHeight="1" s="195">
      <c r="A77" s="235" t="n">
        <v>383757740</v>
      </c>
      <c r="B77" s="235" t="n">
        <v>95051943</v>
      </c>
      <c r="C77" s="235" t="inlineStr">
        <is>
          <t>Caucasian</t>
        </is>
      </c>
      <c r="D77" s="235" t="inlineStr">
        <is>
          <t>Female</t>
        </is>
      </c>
      <c r="E77" s="235" t="inlineStr">
        <is>
          <t>[60-70)</t>
        </is>
      </c>
      <c r="F77" s="235" t="n">
        <v>2</v>
      </c>
      <c r="G77" s="235" t="inlineStr">
        <is>
          <t>?</t>
        </is>
      </c>
      <c r="H77" s="235" t="n">
        <v>40</v>
      </c>
      <c r="I77" s="235" t="n">
        <v>0</v>
      </c>
      <c r="J77" s="235" t="n">
        <v>10</v>
      </c>
      <c r="K77" s="235" t="n">
        <v>2</v>
      </c>
      <c r="L77" s="235" t="n">
        <v>0</v>
      </c>
      <c r="M77" s="235" t="n">
        <v>0</v>
      </c>
      <c r="N77" s="235" t="n">
        <v>9</v>
      </c>
      <c r="O77" s="235" t="inlineStr">
        <is>
          <t>No</t>
        </is>
      </c>
      <c r="P77" s="235" t="inlineStr">
        <is>
          <t>No</t>
        </is>
      </c>
      <c r="Q77" s="253" t="n">
        <v>0</v>
      </c>
    </row>
    <row r="78" ht="15" customHeight="1" s="195">
      <c r="A78" s="237" t="n">
        <v>82358322</v>
      </c>
      <c r="B78" s="237" t="n">
        <v>2436336</v>
      </c>
      <c r="C78" s="237" t="inlineStr">
        <is>
          <t>Caucasian</t>
        </is>
      </c>
      <c r="D78" s="237" t="inlineStr">
        <is>
          <t>Female</t>
        </is>
      </c>
      <c r="E78" s="237" t="inlineStr">
        <is>
          <t>[50-60)</t>
        </is>
      </c>
      <c r="F78" s="237" t="n">
        <v>3</v>
      </c>
      <c r="G78" s="237" t="inlineStr">
        <is>
          <t>?</t>
        </is>
      </c>
      <c r="H78" s="237" t="n">
        <v>52</v>
      </c>
      <c r="I78" s="237" t="n">
        <v>1</v>
      </c>
      <c r="J78" s="237" t="n">
        <v>20</v>
      </c>
      <c r="K78" s="237" t="n">
        <v>0</v>
      </c>
      <c r="L78" s="237" t="n">
        <v>0</v>
      </c>
      <c r="M78" s="237" t="n">
        <v>3</v>
      </c>
      <c r="N78" s="237" t="n">
        <v>9</v>
      </c>
      <c r="O78" s="237" t="inlineStr">
        <is>
          <t>No</t>
        </is>
      </c>
      <c r="P78" s="237" t="inlineStr">
        <is>
          <t>Yes</t>
        </is>
      </c>
      <c r="Q78" s="253" t="n">
        <v>0</v>
      </c>
    </row>
    <row r="79" ht="15" customHeight="1" s="195">
      <c r="A79" s="235" t="n">
        <v>175515264</v>
      </c>
      <c r="B79" s="235" t="n">
        <v>90532818</v>
      </c>
      <c r="C79" s="235" t="inlineStr">
        <is>
          <t>Caucasian</t>
        </is>
      </c>
      <c r="D79" s="235" t="inlineStr">
        <is>
          <t>Female</t>
        </is>
      </c>
      <c r="E79" s="235" t="inlineStr">
        <is>
          <t>[30-40)</t>
        </is>
      </c>
      <c r="F79" s="235" t="n">
        <v>2</v>
      </c>
      <c r="G79" s="235" t="inlineStr">
        <is>
          <t>?</t>
        </is>
      </c>
      <c r="H79" s="235" t="n">
        <v>10</v>
      </c>
      <c r="I79" s="235" t="n">
        <v>0</v>
      </c>
      <c r="J79" s="235" t="n">
        <v>8</v>
      </c>
      <c r="K79" s="235" t="n">
        <v>0</v>
      </c>
      <c r="L79" s="235" t="n">
        <v>0</v>
      </c>
      <c r="M79" s="235" t="n">
        <v>1</v>
      </c>
      <c r="N79" s="235" t="n">
        <v>9</v>
      </c>
      <c r="O79" s="235" t="inlineStr">
        <is>
          <t>Ch</t>
        </is>
      </c>
      <c r="P79" s="235" t="inlineStr">
        <is>
          <t>Yes</t>
        </is>
      </c>
      <c r="Q79" s="253" t="n">
        <v>0</v>
      </c>
    </row>
    <row r="80" ht="15" customHeight="1" s="195">
      <c r="A80" s="237" t="n">
        <v>216979398</v>
      </c>
      <c r="B80" s="237" t="n">
        <v>85026330</v>
      </c>
      <c r="C80" s="237" t="inlineStr">
        <is>
          <t>Caucasian</t>
        </is>
      </c>
      <c r="D80" s="237" t="inlineStr">
        <is>
          <t>Female</t>
        </is>
      </c>
      <c r="E80" s="237" t="inlineStr">
        <is>
          <t>[40-50)</t>
        </is>
      </c>
      <c r="F80" s="237" t="n">
        <v>2</v>
      </c>
      <c r="G80" s="237" t="inlineStr">
        <is>
          <t>?</t>
        </is>
      </c>
      <c r="H80" s="237" t="n">
        <v>70</v>
      </c>
      <c r="I80" s="237" t="n">
        <v>0</v>
      </c>
      <c r="J80" s="237" t="n">
        <v>28</v>
      </c>
      <c r="K80" s="237" t="n">
        <v>3</v>
      </c>
      <c r="L80" s="237" t="n">
        <v>1</v>
      </c>
      <c r="M80" s="237" t="n">
        <v>2</v>
      </c>
      <c r="N80" s="237" t="n">
        <v>8</v>
      </c>
      <c r="O80" s="237" t="inlineStr">
        <is>
          <t>Ch</t>
        </is>
      </c>
      <c r="P80" s="237" t="inlineStr">
        <is>
          <t>Yes</t>
        </is>
      </c>
      <c r="Q80" s="252" t="n">
        <v>1</v>
      </c>
    </row>
    <row r="81" ht="15" customHeight="1" s="195">
      <c r="A81" s="235" t="n">
        <v>138712812</v>
      </c>
      <c r="B81" s="235" t="n">
        <v>25117839</v>
      </c>
      <c r="C81" s="235" t="inlineStr">
        <is>
          <t>AfricanAmerican</t>
        </is>
      </c>
      <c r="D81" s="235" t="inlineStr">
        <is>
          <t>Female</t>
        </is>
      </c>
      <c r="E81" s="235" t="inlineStr">
        <is>
          <t>[90-100)</t>
        </is>
      </c>
      <c r="F81" s="235" t="n">
        <v>6</v>
      </c>
      <c r="G81" s="235" t="inlineStr">
        <is>
          <t>InternalMedicine</t>
        </is>
      </c>
      <c r="H81" s="235" t="n">
        <v>42</v>
      </c>
      <c r="I81" s="235" t="n">
        <v>3</v>
      </c>
      <c r="J81" s="235" t="n">
        <v>21</v>
      </c>
      <c r="K81" s="235" t="n">
        <v>0</v>
      </c>
      <c r="L81" s="235" t="n">
        <v>0</v>
      </c>
      <c r="M81" s="235" t="n">
        <v>0</v>
      </c>
      <c r="N81" s="235" t="n">
        <v>9</v>
      </c>
      <c r="O81" s="235" t="inlineStr">
        <is>
          <t>No</t>
        </is>
      </c>
      <c r="P81" s="235" t="inlineStr">
        <is>
          <t>Yes</t>
        </is>
      </c>
      <c r="Q81" s="253" t="n">
        <v>0</v>
      </c>
    </row>
    <row r="82" ht="15" customHeight="1" s="195">
      <c r="A82" s="237" t="n">
        <v>20839404</v>
      </c>
      <c r="B82" s="237" t="n">
        <v>9949293</v>
      </c>
      <c r="C82" s="237" t="inlineStr">
        <is>
          <t>Caucasian</t>
        </is>
      </c>
      <c r="D82" s="237" t="inlineStr">
        <is>
          <t>Male</t>
        </is>
      </c>
      <c r="E82" s="237" t="inlineStr">
        <is>
          <t>[50-60)</t>
        </is>
      </c>
      <c r="F82" s="237" t="n">
        <v>12</v>
      </c>
      <c r="G82" s="237" t="inlineStr">
        <is>
          <t>?</t>
        </is>
      </c>
      <c r="H82" s="237" t="n">
        <v>53</v>
      </c>
      <c r="I82" s="237" t="n">
        <v>3</v>
      </c>
      <c r="J82" s="237" t="n">
        <v>32</v>
      </c>
      <c r="K82" s="237" t="n">
        <v>0</v>
      </c>
      <c r="L82" s="237" t="n">
        <v>0</v>
      </c>
      <c r="M82" s="237" t="n">
        <v>0</v>
      </c>
      <c r="N82" s="237" t="n">
        <v>9</v>
      </c>
      <c r="O82" s="237" t="inlineStr">
        <is>
          <t>No</t>
        </is>
      </c>
      <c r="P82" s="237" t="inlineStr">
        <is>
          <t>Yes</t>
        </is>
      </c>
      <c r="Q82" s="252" t="n">
        <v>1</v>
      </c>
    </row>
    <row r="83" ht="15" customHeight="1" s="195">
      <c r="A83" s="235" t="n">
        <v>135579966</v>
      </c>
      <c r="B83" s="235" t="n">
        <v>39110139</v>
      </c>
      <c r="C83" s="235" t="inlineStr">
        <is>
          <t>Caucasian</t>
        </is>
      </c>
      <c r="D83" s="235" t="inlineStr">
        <is>
          <t>Female</t>
        </is>
      </c>
      <c r="E83" s="235" t="inlineStr">
        <is>
          <t>[50-60)</t>
        </is>
      </c>
      <c r="F83" s="235" t="n">
        <v>3</v>
      </c>
      <c r="G83" s="235" t="inlineStr">
        <is>
          <t>Family/GeneralPractice</t>
        </is>
      </c>
      <c r="H83" s="235" t="n">
        <v>55</v>
      </c>
      <c r="I83" s="235" t="n">
        <v>3</v>
      </c>
      <c r="J83" s="235" t="n">
        <v>14</v>
      </c>
      <c r="K83" s="235" t="n">
        <v>0</v>
      </c>
      <c r="L83" s="235" t="n">
        <v>0</v>
      </c>
      <c r="M83" s="235" t="n">
        <v>0</v>
      </c>
      <c r="N83" s="235" t="n">
        <v>9</v>
      </c>
      <c r="O83" s="235" t="inlineStr">
        <is>
          <t>Ch</t>
        </is>
      </c>
      <c r="P83" s="235" t="inlineStr">
        <is>
          <t>Yes</t>
        </is>
      </c>
      <c r="Q83" s="253" t="n">
        <v>0</v>
      </c>
    </row>
    <row r="84" ht="15" customHeight="1" s="195">
      <c r="A84" s="237" t="n">
        <v>8056050</v>
      </c>
      <c r="B84" s="237" t="n">
        <v>5336874</v>
      </c>
      <c r="C84" s="237" t="inlineStr">
        <is>
          <t>Caucasian</t>
        </is>
      </c>
      <c r="D84" s="237" t="inlineStr">
        <is>
          <t>Male</t>
        </is>
      </c>
      <c r="E84" s="237" t="inlineStr">
        <is>
          <t>[80-90)</t>
        </is>
      </c>
      <c r="F84" s="237" t="n">
        <v>1</v>
      </c>
      <c r="G84" s="237" t="inlineStr">
        <is>
          <t>Urology</t>
        </is>
      </c>
      <c r="H84" s="237" t="n">
        <v>12</v>
      </c>
      <c r="I84" s="237" t="n">
        <v>2</v>
      </c>
      <c r="J84" s="237" t="n">
        <v>2</v>
      </c>
      <c r="K84" s="237" t="n">
        <v>0</v>
      </c>
      <c r="L84" s="237" t="n">
        <v>0</v>
      </c>
      <c r="M84" s="237" t="n">
        <v>0</v>
      </c>
      <c r="N84" s="237" t="n">
        <v>3</v>
      </c>
      <c r="O84" s="237" t="inlineStr">
        <is>
          <t>No</t>
        </is>
      </c>
      <c r="P84" s="237" t="inlineStr">
        <is>
          <t>No</t>
        </is>
      </c>
      <c r="Q84" s="252" t="n">
        <v>1</v>
      </c>
    </row>
    <row r="85" ht="15" customHeight="1" s="195">
      <c r="A85" s="235" t="n">
        <v>341340188</v>
      </c>
      <c r="B85" s="235" t="n">
        <v>44243190</v>
      </c>
      <c r="C85" s="235" t="inlineStr">
        <is>
          <t>Caucasian</t>
        </is>
      </c>
      <c r="D85" s="235" t="inlineStr">
        <is>
          <t>Female</t>
        </is>
      </c>
      <c r="E85" s="235" t="inlineStr">
        <is>
          <t>[60-70)</t>
        </is>
      </c>
      <c r="F85" s="235" t="n">
        <v>2</v>
      </c>
      <c r="G85" s="235" t="inlineStr">
        <is>
          <t>?</t>
        </is>
      </c>
      <c r="H85" s="235" t="n">
        <v>34</v>
      </c>
      <c r="I85" s="235" t="n">
        <v>5</v>
      </c>
      <c r="J85" s="235" t="n">
        <v>13</v>
      </c>
      <c r="K85" s="235" t="n">
        <v>0</v>
      </c>
      <c r="L85" s="235" t="n">
        <v>0</v>
      </c>
      <c r="M85" s="235" t="n">
        <v>0</v>
      </c>
      <c r="N85" s="235" t="n">
        <v>9</v>
      </c>
      <c r="O85" s="235" t="inlineStr">
        <is>
          <t>No</t>
        </is>
      </c>
      <c r="P85" s="235" t="inlineStr">
        <is>
          <t>Yes</t>
        </is>
      </c>
      <c r="Q85" s="253" t="n">
        <v>0</v>
      </c>
    </row>
    <row r="86" ht="15" customHeight="1" s="195">
      <c r="A86" s="237" t="n">
        <v>66567390</v>
      </c>
      <c r="B86" s="237" t="n">
        <v>19522053</v>
      </c>
      <c r="C86" s="237" t="inlineStr">
        <is>
          <t>Caucasian</t>
        </is>
      </c>
      <c r="D86" s="237" t="inlineStr">
        <is>
          <t>Female</t>
        </is>
      </c>
      <c r="E86" s="237" t="inlineStr">
        <is>
          <t>[90-100)</t>
        </is>
      </c>
      <c r="F86" s="237" t="n">
        <v>6</v>
      </c>
      <c r="G86" s="237" t="inlineStr">
        <is>
          <t>InternalMedicine</t>
        </is>
      </c>
      <c r="H86" s="237" t="n">
        <v>34</v>
      </c>
      <c r="I86" s="237" t="n">
        <v>0</v>
      </c>
      <c r="J86" s="237" t="n">
        <v>14</v>
      </c>
      <c r="K86" s="237" t="n">
        <v>0</v>
      </c>
      <c r="L86" s="237" t="n">
        <v>0</v>
      </c>
      <c r="M86" s="237" t="n">
        <v>1</v>
      </c>
      <c r="N86" s="237" t="n">
        <v>9</v>
      </c>
      <c r="O86" s="237" t="inlineStr">
        <is>
          <t>No</t>
        </is>
      </c>
      <c r="P86" s="237" t="inlineStr">
        <is>
          <t>Yes</t>
        </is>
      </c>
      <c r="Q86" s="253" t="n">
        <v>0</v>
      </c>
    </row>
    <row r="87" ht="15" customHeight="1" s="195">
      <c r="A87" s="235" t="n">
        <v>185883000</v>
      </c>
      <c r="B87" s="235" t="n">
        <v>33290388</v>
      </c>
      <c r="C87" s="235" t="inlineStr">
        <is>
          <t>Caucasian</t>
        </is>
      </c>
      <c r="D87" s="235" t="inlineStr">
        <is>
          <t>Male</t>
        </is>
      </c>
      <c r="E87" s="235" t="inlineStr">
        <is>
          <t>[70-80)</t>
        </is>
      </c>
      <c r="F87" s="235" t="n">
        <v>3</v>
      </c>
      <c r="G87" s="235" t="inlineStr">
        <is>
          <t>?</t>
        </is>
      </c>
      <c r="H87" s="235" t="n">
        <v>47</v>
      </c>
      <c r="I87" s="235" t="n">
        <v>0</v>
      </c>
      <c r="J87" s="235" t="n">
        <v>8</v>
      </c>
      <c r="K87" s="235" t="n">
        <v>0</v>
      </c>
      <c r="L87" s="235" t="n">
        <v>1</v>
      </c>
      <c r="M87" s="235" t="n">
        <v>0</v>
      </c>
      <c r="N87" s="235" t="n">
        <v>4</v>
      </c>
      <c r="O87" s="235" t="inlineStr">
        <is>
          <t>No</t>
        </is>
      </c>
      <c r="P87" s="235" t="inlineStr">
        <is>
          <t>Yes</t>
        </is>
      </c>
      <c r="Q87" s="253" t="n">
        <v>0</v>
      </c>
    </row>
    <row r="88" ht="15" customHeight="1" s="195">
      <c r="A88" s="237" t="n">
        <v>70131108</v>
      </c>
      <c r="B88" s="237" t="n">
        <v>1085436</v>
      </c>
      <c r="C88" s="237" t="inlineStr">
        <is>
          <t>Caucasian</t>
        </is>
      </c>
      <c r="D88" s="237" t="inlineStr">
        <is>
          <t>Female</t>
        </is>
      </c>
      <c r="E88" s="237" t="inlineStr">
        <is>
          <t>[70-80)</t>
        </is>
      </c>
      <c r="F88" s="237" t="n">
        <v>2</v>
      </c>
      <c r="G88" s="237" t="inlineStr">
        <is>
          <t>?</t>
        </is>
      </c>
      <c r="H88" s="237" t="n">
        <v>38</v>
      </c>
      <c r="I88" s="237" t="n">
        <v>2</v>
      </c>
      <c r="J88" s="237" t="n">
        <v>13</v>
      </c>
      <c r="K88" s="237" t="n">
        <v>0</v>
      </c>
      <c r="L88" s="237" t="n">
        <v>0</v>
      </c>
      <c r="M88" s="237" t="n">
        <v>0</v>
      </c>
      <c r="N88" s="237" t="n">
        <v>4</v>
      </c>
      <c r="O88" s="237" t="inlineStr">
        <is>
          <t>No</t>
        </is>
      </c>
      <c r="P88" s="237" t="inlineStr">
        <is>
          <t>No</t>
        </is>
      </c>
      <c r="Q88" s="253" t="n">
        <v>0</v>
      </c>
    </row>
    <row r="89" ht="15" customHeight="1" s="195">
      <c r="A89" s="235" t="n">
        <v>190502124</v>
      </c>
      <c r="B89" s="235" t="n">
        <v>88789707</v>
      </c>
      <c r="C89" s="235" t="inlineStr">
        <is>
          <t>Caucasian</t>
        </is>
      </c>
      <c r="D89" s="235" t="inlineStr">
        <is>
          <t>Female</t>
        </is>
      </c>
      <c r="E89" s="235" t="inlineStr">
        <is>
          <t>[40-50)</t>
        </is>
      </c>
      <c r="F89" s="235" t="n">
        <v>4</v>
      </c>
      <c r="G89" s="235" t="inlineStr">
        <is>
          <t>Emergency/Trauma</t>
        </is>
      </c>
      <c r="H89" s="235" t="n">
        <v>35</v>
      </c>
      <c r="I89" s="235" t="n">
        <v>0</v>
      </c>
      <c r="J89" s="235" t="n">
        <v>16</v>
      </c>
      <c r="K89" s="235" t="n">
        <v>0</v>
      </c>
      <c r="L89" s="235" t="n">
        <v>6</v>
      </c>
      <c r="M89" s="235" t="n">
        <v>9</v>
      </c>
      <c r="N89" s="235" t="n">
        <v>6</v>
      </c>
      <c r="O89" s="235" t="inlineStr">
        <is>
          <t>No</t>
        </is>
      </c>
      <c r="P89" s="235" t="inlineStr">
        <is>
          <t>Yes</t>
        </is>
      </c>
      <c r="Q89" s="252" t="n">
        <v>1</v>
      </c>
    </row>
    <row r="90" ht="15" customHeight="1" s="195">
      <c r="A90" s="237" t="n">
        <v>86637486</v>
      </c>
      <c r="B90" s="237" t="n">
        <v>61368633</v>
      </c>
      <c r="C90" s="237" t="inlineStr">
        <is>
          <t>Caucasian</t>
        </is>
      </c>
      <c r="D90" s="237" t="inlineStr">
        <is>
          <t>Male</t>
        </is>
      </c>
      <c r="E90" s="237" t="inlineStr">
        <is>
          <t>[40-50)</t>
        </is>
      </c>
      <c r="F90" s="237" t="n">
        <v>3</v>
      </c>
      <c r="G90" s="237" t="inlineStr">
        <is>
          <t>?</t>
        </is>
      </c>
      <c r="H90" s="237" t="n">
        <v>21</v>
      </c>
      <c r="I90" s="237" t="n">
        <v>6</v>
      </c>
      <c r="J90" s="237" t="n">
        <v>29</v>
      </c>
      <c r="K90" s="237" t="n">
        <v>0</v>
      </c>
      <c r="L90" s="237" t="n">
        <v>0</v>
      </c>
      <c r="M90" s="237" t="n">
        <v>0</v>
      </c>
      <c r="N90" s="237" t="n">
        <v>6</v>
      </c>
      <c r="O90" s="237" t="inlineStr">
        <is>
          <t>No</t>
        </is>
      </c>
      <c r="P90" s="237" t="inlineStr">
        <is>
          <t>Yes</t>
        </is>
      </c>
      <c r="Q90" s="252" t="n">
        <v>1</v>
      </c>
    </row>
    <row r="91" ht="15" customHeight="1" s="195">
      <c r="A91" s="235" t="n">
        <v>72005406</v>
      </c>
      <c r="B91" s="235" t="n">
        <v>24347115</v>
      </c>
      <c r="C91" s="235" t="inlineStr">
        <is>
          <t>Caucasian</t>
        </is>
      </c>
      <c r="D91" s="235" t="inlineStr">
        <is>
          <t>Female</t>
        </is>
      </c>
      <c r="E91" s="235" t="inlineStr">
        <is>
          <t>[60-70)</t>
        </is>
      </c>
      <c r="F91" s="235" t="n">
        <v>1</v>
      </c>
      <c r="G91" s="235" t="inlineStr">
        <is>
          <t>Family/GeneralPractice</t>
        </is>
      </c>
      <c r="H91" s="235" t="n">
        <v>20</v>
      </c>
      <c r="I91" s="235" t="n">
        <v>0</v>
      </c>
      <c r="J91" s="235" t="n">
        <v>8</v>
      </c>
      <c r="K91" s="235" t="n">
        <v>0</v>
      </c>
      <c r="L91" s="235" t="n">
        <v>0</v>
      </c>
      <c r="M91" s="235" t="n">
        <v>0</v>
      </c>
      <c r="N91" s="235" t="n">
        <v>3</v>
      </c>
      <c r="O91" s="235" t="inlineStr">
        <is>
          <t>Ch</t>
        </is>
      </c>
      <c r="P91" s="235" t="inlineStr">
        <is>
          <t>Yes</t>
        </is>
      </c>
      <c r="Q91" s="252" t="n">
        <v>1</v>
      </c>
    </row>
    <row r="92" ht="15" customHeight="1" s="195">
      <c r="A92" s="237" t="n">
        <v>268780680</v>
      </c>
      <c r="B92" s="237" t="n">
        <v>67522518</v>
      </c>
      <c r="C92" s="237" t="inlineStr">
        <is>
          <t>Caucasian</t>
        </is>
      </c>
      <c r="D92" s="237" t="inlineStr">
        <is>
          <t>Female</t>
        </is>
      </c>
      <c r="E92" s="237" t="inlineStr">
        <is>
          <t>[80-90)</t>
        </is>
      </c>
      <c r="F92" s="237" t="n">
        <v>4</v>
      </c>
      <c r="G92" s="237" t="inlineStr">
        <is>
          <t>?</t>
        </is>
      </c>
      <c r="H92" s="237" t="n">
        <v>63</v>
      </c>
      <c r="I92" s="237" t="n">
        <v>0</v>
      </c>
      <c r="J92" s="237" t="n">
        <v>29</v>
      </c>
      <c r="K92" s="237" t="n">
        <v>0</v>
      </c>
      <c r="L92" s="237" t="n">
        <v>1</v>
      </c>
      <c r="M92" s="237" t="n">
        <v>1</v>
      </c>
      <c r="N92" s="237" t="n">
        <v>9</v>
      </c>
      <c r="O92" s="237" t="inlineStr">
        <is>
          <t>Ch</t>
        </is>
      </c>
      <c r="P92" s="237" t="inlineStr">
        <is>
          <t>Yes</t>
        </is>
      </c>
      <c r="Q92" s="253" t="n">
        <v>0</v>
      </c>
    </row>
    <row r="93" ht="15" customHeight="1" s="195">
      <c r="A93" s="235" t="n">
        <v>184626972</v>
      </c>
      <c r="B93" s="235" t="n">
        <v>101686095</v>
      </c>
      <c r="C93" s="235" t="inlineStr">
        <is>
          <t>AfricanAmerican</t>
        </is>
      </c>
      <c r="D93" s="235" t="inlineStr">
        <is>
          <t>Male</t>
        </is>
      </c>
      <c r="E93" s="235" t="inlineStr">
        <is>
          <t>[50-60)</t>
        </is>
      </c>
      <c r="F93" s="235" t="n">
        <v>5</v>
      </c>
      <c r="G93" s="235" t="inlineStr">
        <is>
          <t>?</t>
        </is>
      </c>
      <c r="H93" s="235" t="n">
        <v>83</v>
      </c>
      <c r="I93" s="235" t="n">
        <v>0</v>
      </c>
      <c r="J93" s="235" t="n">
        <v>19</v>
      </c>
      <c r="K93" s="235" t="n">
        <v>0</v>
      </c>
      <c r="L93" s="235" t="n">
        <v>0</v>
      </c>
      <c r="M93" s="235" t="n">
        <v>0</v>
      </c>
      <c r="N93" s="235" t="n">
        <v>9</v>
      </c>
      <c r="O93" s="235" t="inlineStr">
        <is>
          <t>Ch</t>
        </is>
      </c>
      <c r="P93" s="235" t="inlineStr">
        <is>
          <t>Yes</t>
        </is>
      </c>
      <c r="Q93" s="253" t="n">
        <v>0</v>
      </c>
    </row>
    <row r="94" ht="15" customHeight="1" s="195">
      <c r="A94" s="237" t="n">
        <v>340714154</v>
      </c>
      <c r="B94" s="237" t="n">
        <v>185570303</v>
      </c>
      <c r="C94" s="237" t="inlineStr">
        <is>
          <t>Caucasian</t>
        </is>
      </c>
      <c r="D94" s="237" t="inlineStr">
        <is>
          <t>Male</t>
        </is>
      </c>
      <c r="E94" s="237" t="inlineStr">
        <is>
          <t>[80-90)</t>
        </is>
      </c>
      <c r="F94" s="237" t="n">
        <v>9</v>
      </c>
      <c r="G94" s="237" t="inlineStr">
        <is>
          <t>?</t>
        </is>
      </c>
      <c r="H94" s="237" t="n">
        <v>69</v>
      </c>
      <c r="I94" s="237" t="n">
        <v>3</v>
      </c>
      <c r="J94" s="237" t="n">
        <v>13</v>
      </c>
      <c r="K94" s="237" t="n">
        <v>0</v>
      </c>
      <c r="L94" s="237" t="n">
        <v>0</v>
      </c>
      <c r="M94" s="237" t="n">
        <v>0</v>
      </c>
      <c r="N94" s="237" t="n">
        <v>9</v>
      </c>
      <c r="O94" s="237" t="inlineStr">
        <is>
          <t>No</t>
        </is>
      </c>
      <c r="P94" s="237" t="inlineStr">
        <is>
          <t>Yes</t>
        </is>
      </c>
      <c r="Q94" s="253" t="n">
        <v>0</v>
      </c>
    </row>
    <row r="95" ht="15" customHeight="1" s="195">
      <c r="A95" s="235" t="n">
        <v>159235140</v>
      </c>
      <c r="B95" s="235" t="n">
        <v>64922733</v>
      </c>
      <c r="C95" s="235" t="inlineStr">
        <is>
          <t>Caucasian</t>
        </is>
      </c>
      <c r="D95" s="235" t="inlineStr">
        <is>
          <t>Male</t>
        </is>
      </c>
      <c r="E95" s="235" t="inlineStr">
        <is>
          <t>[70-80)</t>
        </is>
      </c>
      <c r="F95" s="235" t="n">
        <v>13</v>
      </c>
      <c r="G95" s="235" t="inlineStr">
        <is>
          <t>InternalMedicine</t>
        </is>
      </c>
      <c r="H95" s="235" t="n">
        <v>2</v>
      </c>
      <c r="I95" s="235" t="n">
        <v>1</v>
      </c>
      <c r="J95" s="235" t="n">
        <v>9</v>
      </c>
      <c r="K95" s="235" t="n">
        <v>1</v>
      </c>
      <c r="L95" s="235" t="n">
        <v>0</v>
      </c>
      <c r="M95" s="235" t="n">
        <v>3</v>
      </c>
      <c r="N95" s="235" t="n">
        <v>7</v>
      </c>
      <c r="O95" s="235" t="inlineStr">
        <is>
          <t>No</t>
        </is>
      </c>
      <c r="P95" s="235" t="inlineStr">
        <is>
          <t>No</t>
        </is>
      </c>
      <c r="Q95" s="252" t="n">
        <v>1</v>
      </c>
    </row>
    <row r="96" ht="15" customHeight="1" s="195">
      <c r="A96" s="237" t="n">
        <v>82804872</v>
      </c>
      <c r="B96" s="237" t="n">
        <v>3570723</v>
      </c>
      <c r="C96" s="237" t="inlineStr">
        <is>
          <t>Caucasian</t>
        </is>
      </c>
      <c r="D96" s="237" t="inlineStr">
        <is>
          <t>Female</t>
        </is>
      </c>
      <c r="E96" s="237" t="inlineStr">
        <is>
          <t>[50-60)</t>
        </is>
      </c>
      <c r="F96" s="237" t="n">
        <v>5</v>
      </c>
      <c r="G96" s="237" t="inlineStr">
        <is>
          <t>?</t>
        </is>
      </c>
      <c r="H96" s="237" t="n">
        <v>54</v>
      </c>
      <c r="I96" s="237" t="n">
        <v>0</v>
      </c>
      <c r="J96" s="237" t="n">
        <v>20</v>
      </c>
      <c r="K96" s="237" t="n">
        <v>0</v>
      </c>
      <c r="L96" s="237" t="n">
        <v>0</v>
      </c>
      <c r="M96" s="237" t="n">
        <v>0</v>
      </c>
      <c r="N96" s="237" t="n">
        <v>9</v>
      </c>
      <c r="O96" s="237" t="inlineStr">
        <is>
          <t>Ch</t>
        </is>
      </c>
      <c r="P96" s="237" t="inlineStr">
        <is>
          <t>Yes</t>
        </is>
      </c>
      <c r="Q96" s="253" t="n">
        <v>0</v>
      </c>
    </row>
    <row r="97" ht="15" customHeight="1" s="195">
      <c r="A97" s="235" t="n">
        <v>287943720</v>
      </c>
      <c r="B97" s="235" t="n">
        <v>69029280</v>
      </c>
      <c r="C97" s="235" t="inlineStr">
        <is>
          <t>Caucasian</t>
        </is>
      </c>
      <c r="D97" s="235" t="inlineStr">
        <is>
          <t>Male</t>
        </is>
      </c>
      <c r="E97" s="235" t="inlineStr">
        <is>
          <t>[50-60)</t>
        </is>
      </c>
      <c r="F97" s="235" t="n">
        <v>3</v>
      </c>
      <c r="G97" s="235" t="inlineStr">
        <is>
          <t>PhysicianNotFound</t>
        </is>
      </c>
      <c r="H97" s="235" t="n">
        <v>37</v>
      </c>
      <c r="I97" s="235" t="n">
        <v>1</v>
      </c>
      <c r="J97" s="235" t="n">
        <v>15</v>
      </c>
      <c r="K97" s="235" t="n">
        <v>0</v>
      </c>
      <c r="L97" s="235" t="n">
        <v>0</v>
      </c>
      <c r="M97" s="235" t="n">
        <v>0</v>
      </c>
      <c r="N97" s="235" t="n">
        <v>9</v>
      </c>
      <c r="O97" s="235" t="inlineStr">
        <is>
          <t>Ch</t>
        </is>
      </c>
      <c r="P97" s="235" t="inlineStr">
        <is>
          <t>Yes</t>
        </is>
      </c>
      <c r="Q97" s="253" t="n">
        <v>0</v>
      </c>
    </row>
    <row r="98" ht="15" customHeight="1" s="195">
      <c r="A98" s="237" t="n">
        <v>214403532</v>
      </c>
      <c r="B98" s="237" t="n">
        <v>89710911</v>
      </c>
      <c r="C98" s="237" t="inlineStr">
        <is>
          <t>Caucasian</t>
        </is>
      </c>
      <c r="D98" s="237" t="inlineStr">
        <is>
          <t>Female</t>
        </is>
      </c>
      <c r="E98" s="237" t="inlineStr">
        <is>
          <t>[70-80)</t>
        </is>
      </c>
      <c r="F98" s="237" t="n">
        <v>4</v>
      </c>
      <c r="G98" s="237" t="inlineStr">
        <is>
          <t>Family/GeneralPractice</t>
        </is>
      </c>
      <c r="H98" s="237" t="n">
        <v>66</v>
      </c>
      <c r="I98" s="237" t="n">
        <v>3</v>
      </c>
      <c r="J98" s="237" t="n">
        <v>8</v>
      </c>
      <c r="K98" s="237" t="n">
        <v>0</v>
      </c>
      <c r="L98" s="237" t="n">
        <v>0</v>
      </c>
      <c r="M98" s="237" t="n">
        <v>2</v>
      </c>
      <c r="N98" s="237" t="n">
        <v>9</v>
      </c>
      <c r="O98" s="237" t="inlineStr">
        <is>
          <t>Ch</t>
        </is>
      </c>
      <c r="P98" s="237" t="inlineStr">
        <is>
          <t>Yes</t>
        </is>
      </c>
      <c r="Q98" s="252" t="n">
        <v>1</v>
      </c>
    </row>
    <row r="99" ht="15" customHeight="1" s="195">
      <c r="A99" s="235" t="n">
        <v>250163040</v>
      </c>
      <c r="B99" s="235" t="n">
        <v>84829401</v>
      </c>
      <c r="C99" s="235" t="inlineStr">
        <is>
          <t>Caucasian</t>
        </is>
      </c>
      <c r="D99" s="235" t="inlineStr">
        <is>
          <t>Male</t>
        </is>
      </c>
      <c r="E99" s="235" t="inlineStr">
        <is>
          <t>[80-90)</t>
        </is>
      </c>
      <c r="F99" s="235" t="n">
        <v>6</v>
      </c>
      <c r="G99" s="235" t="inlineStr">
        <is>
          <t>?</t>
        </is>
      </c>
      <c r="H99" s="235" t="n">
        <v>39</v>
      </c>
      <c r="I99" s="235" t="n">
        <v>0</v>
      </c>
      <c r="J99" s="235" t="n">
        <v>15</v>
      </c>
      <c r="K99" s="235" t="n">
        <v>0</v>
      </c>
      <c r="L99" s="235" t="n">
        <v>2</v>
      </c>
      <c r="M99" s="235" t="n">
        <v>0</v>
      </c>
      <c r="N99" s="235" t="n">
        <v>9</v>
      </c>
      <c r="O99" s="235" t="inlineStr">
        <is>
          <t>No</t>
        </is>
      </c>
      <c r="P99" s="235" t="inlineStr">
        <is>
          <t>No</t>
        </is>
      </c>
      <c r="Q99" s="253" t="n">
        <v>0</v>
      </c>
    </row>
    <row r="100" ht="15" customHeight="1" s="195">
      <c r="A100" s="237" t="n">
        <v>151944474</v>
      </c>
      <c r="B100" s="237" t="n">
        <v>99593586</v>
      </c>
      <c r="C100" s="237" t="inlineStr">
        <is>
          <t>AfricanAmerican</t>
        </is>
      </c>
      <c r="D100" s="237" t="inlineStr">
        <is>
          <t>Male</t>
        </is>
      </c>
      <c r="E100" s="237" t="inlineStr">
        <is>
          <t>[50-60)</t>
        </is>
      </c>
      <c r="F100" s="237" t="n">
        <v>7</v>
      </c>
      <c r="G100" s="237" t="inlineStr">
        <is>
          <t>?</t>
        </is>
      </c>
      <c r="H100" s="237" t="n">
        <v>52</v>
      </c>
      <c r="I100" s="237" t="n">
        <v>0</v>
      </c>
      <c r="J100" s="237" t="n">
        <v>16</v>
      </c>
      <c r="K100" s="237" t="n">
        <v>1</v>
      </c>
      <c r="L100" s="237" t="n">
        <v>0</v>
      </c>
      <c r="M100" s="237" t="n">
        <v>1</v>
      </c>
      <c r="N100" s="237" t="n">
        <v>9</v>
      </c>
      <c r="O100" s="237" t="inlineStr">
        <is>
          <t>No</t>
        </is>
      </c>
      <c r="P100" s="237" t="inlineStr">
        <is>
          <t>Yes</t>
        </is>
      </c>
      <c r="Q100" s="252" t="n">
        <v>1</v>
      </c>
    </row>
    <row r="101" ht="15" customHeight="1" s="195">
      <c r="A101" s="235" t="n">
        <v>39755106</v>
      </c>
      <c r="B101" s="235" t="n">
        <v>77830956</v>
      </c>
      <c r="C101" s="235" t="inlineStr">
        <is>
          <t>Caucasian</t>
        </is>
      </c>
      <c r="D101" s="235" t="inlineStr">
        <is>
          <t>Male</t>
        </is>
      </c>
      <c r="E101" s="235" t="inlineStr">
        <is>
          <t>[80-90)</t>
        </is>
      </c>
      <c r="F101" s="235" t="n">
        <v>3</v>
      </c>
      <c r="G101" s="235" t="inlineStr">
        <is>
          <t>InternalMedicine</t>
        </is>
      </c>
      <c r="H101" s="235" t="n">
        <v>69</v>
      </c>
      <c r="I101" s="235" t="n">
        <v>0</v>
      </c>
      <c r="J101" s="235" t="n">
        <v>9</v>
      </c>
      <c r="K101" s="235" t="n">
        <v>0</v>
      </c>
      <c r="L101" s="235" t="n">
        <v>0</v>
      </c>
      <c r="M101" s="235" t="n">
        <v>0</v>
      </c>
      <c r="N101" s="235" t="n">
        <v>7</v>
      </c>
      <c r="O101" s="235" t="inlineStr">
        <is>
          <t>No</t>
        </is>
      </c>
      <c r="P101" s="235" t="inlineStr">
        <is>
          <t>No</t>
        </is>
      </c>
      <c r="Q101" s="253" t="n">
        <v>0</v>
      </c>
    </row>
    <row r="102" ht="15" customHeight="1" s="195">
      <c r="A102" s="237" t="n">
        <v>159277908</v>
      </c>
      <c r="B102" s="237" t="n">
        <v>24767658</v>
      </c>
      <c r="C102" s="237" t="inlineStr">
        <is>
          <t>AfricanAmerican</t>
        </is>
      </c>
      <c r="D102" s="237" t="inlineStr">
        <is>
          <t>Male</t>
        </is>
      </c>
      <c r="E102" s="237" t="inlineStr">
        <is>
          <t>[20-30)</t>
        </is>
      </c>
      <c r="F102" s="237" t="n">
        <v>2</v>
      </c>
      <c r="G102" s="237" t="inlineStr">
        <is>
          <t>Emergency/Trauma</t>
        </is>
      </c>
      <c r="H102" s="237" t="n">
        <v>46</v>
      </c>
      <c r="I102" s="237" t="n">
        <v>1</v>
      </c>
      <c r="J102" s="237" t="n">
        <v>11</v>
      </c>
      <c r="K102" s="237" t="n">
        <v>0</v>
      </c>
      <c r="L102" s="237" t="n">
        <v>8</v>
      </c>
      <c r="M102" s="237" t="n">
        <v>7</v>
      </c>
      <c r="N102" s="237" t="n">
        <v>6</v>
      </c>
      <c r="O102" s="237" t="inlineStr">
        <is>
          <t>Ch</t>
        </is>
      </c>
      <c r="P102" s="237" t="inlineStr">
        <is>
          <t>Yes</t>
        </is>
      </c>
      <c r="Q102" s="252" t="n">
        <v>1</v>
      </c>
    </row>
    <row r="103" ht="15" customHeight="1" s="195">
      <c r="A103" s="235" t="n">
        <v>170157126</v>
      </c>
      <c r="B103" s="235" t="n">
        <v>43452153</v>
      </c>
      <c r="C103" s="235" t="inlineStr">
        <is>
          <t>Caucasian</t>
        </is>
      </c>
      <c r="D103" s="235" t="inlineStr">
        <is>
          <t>Male</t>
        </is>
      </c>
      <c r="E103" s="235" t="inlineStr">
        <is>
          <t>[80-90)</t>
        </is>
      </c>
      <c r="F103" s="235" t="n">
        <v>5</v>
      </c>
      <c r="G103" s="235" t="inlineStr">
        <is>
          <t>?</t>
        </is>
      </c>
      <c r="H103" s="235" t="n">
        <v>59</v>
      </c>
      <c r="I103" s="235" t="n">
        <v>0</v>
      </c>
      <c r="J103" s="235" t="n">
        <v>9</v>
      </c>
      <c r="K103" s="235" t="n">
        <v>0</v>
      </c>
      <c r="L103" s="235" t="n">
        <v>0</v>
      </c>
      <c r="M103" s="235" t="n">
        <v>1</v>
      </c>
      <c r="N103" s="235" t="n">
        <v>9</v>
      </c>
      <c r="O103" s="235" t="inlineStr">
        <is>
          <t>No</t>
        </is>
      </c>
      <c r="P103" s="235" t="inlineStr">
        <is>
          <t>No</t>
        </is>
      </c>
      <c r="Q103" s="253" t="n">
        <v>0</v>
      </c>
    </row>
    <row r="104" ht="15" customHeight="1" s="195">
      <c r="A104" s="237" t="n">
        <v>249379500</v>
      </c>
      <c r="B104" s="237" t="n">
        <v>103603644</v>
      </c>
      <c r="C104" s="237" t="inlineStr">
        <is>
          <t>Caucasian</t>
        </is>
      </c>
      <c r="D104" s="237" t="inlineStr">
        <is>
          <t>Male</t>
        </is>
      </c>
      <c r="E104" s="237" t="inlineStr">
        <is>
          <t>[60-70)</t>
        </is>
      </c>
      <c r="F104" s="237" t="n">
        <v>5</v>
      </c>
      <c r="G104" s="237" t="inlineStr">
        <is>
          <t>Radiologist</t>
        </is>
      </c>
      <c r="H104" s="237" t="n">
        <v>7</v>
      </c>
      <c r="I104" s="237" t="n">
        <v>2</v>
      </c>
      <c r="J104" s="237" t="n">
        <v>35</v>
      </c>
      <c r="K104" s="237" t="n">
        <v>3</v>
      </c>
      <c r="L104" s="237" t="n">
        <v>0</v>
      </c>
      <c r="M104" s="237" t="n">
        <v>0</v>
      </c>
      <c r="N104" s="237" t="n">
        <v>6</v>
      </c>
      <c r="O104" s="237" t="inlineStr">
        <is>
          <t>Ch</t>
        </is>
      </c>
      <c r="P104" s="237" t="inlineStr">
        <is>
          <t>Yes</t>
        </is>
      </c>
      <c r="Q104" s="253" t="n">
        <v>0</v>
      </c>
    </row>
    <row r="105" ht="15" customHeight="1" s="195">
      <c r="A105" s="235" t="n">
        <v>292136766</v>
      </c>
      <c r="B105" s="235" t="n">
        <v>51299280</v>
      </c>
      <c r="C105" s="235" t="inlineStr">
        <is>
          <t>Caucasian</t>
        </is>
      </c>
      <c r="D105" s="235" t="inlineStr">
        <is>
          <t>Female</t>
        </is>
      </c>
      <c r="E105" s="235" t="inlineStr">
        <is>
          <t>[60-70)</t>
        </is>
      </c>
      <c r="F105" s="235" t="n">
        <v>1</v>
      </c>
      <c r="G105" s="235" t="inlineStr">
        <is>
          <t>?</t>
        </is>
      </c>
      <c r="H105" s="235" t="n">
        <v>2</v>
      </c>
      <c r="I105" s="235" t="n">
        <v>0</v>
      </c>
      <c r="J105" s="235" t="n">
        <v>9</v>
      </c>
      <c r="K105" s="235" t="n">
        <v>3</v>
      </c>
      <c r="L105" s="235" t="n">
        <v>0</v>
      </c>
      <c r="M105" s="235" t="n">
        <v>0</v>
      </c>
      <c r="N105" s="235" t="n">
        <v>7</v>
      </c>
      <c r="O105" s="235" t="inlineStr">
        <is>
          <t>No</t>
        </is>
      </c>
      <c r="P105" s="235" t="inlineStr">
        <is>
          <t>Yes</t>
        </is>
      </c>
      <c r="Q105" s="253" t="n">
        <v>0</v>
      </c>
    </row>
    <row r="106" ht="15" customHeight="1" s="195">
      <c r="A106" s="237" t="n">
        <v>175573230</v>
      </c>
      <c r="B106" s="237" t="n">
        <v>23633694</v>
      </c>
      <c r="C106" s="237" t="inlineStr">
        <is>
          <t>AfricanAmerican</t>
        </is>
      </c>
      <c r="D106" s="237" t="inlineStr">
        <is>
          <t>Female</t>
        </is>
      </c>
      <c r="E106" s="237" t="inlineStr">
        <is>
          <t>[80-90)</t>
        </is>
      </c>
      <c r="F106" s="237" t="n">
        <v>10</v>
      </c>
      <c r="G106" s="237" t="inlineStr">
        <is>
          <t>InternalMedicine</t>
        </is>
      </c>
      <c r="H106" s="237" t="n">
        <v>38</v>
      </c>
      <c r="I106" s="237" t="n">
        <v>0</v>
      </c>
      <c r="J106" s="237" t="n">
        <v>22</v>
      </c>
      <c r="K106" s="237" t="n">
        <v>0</v>
      </c>
      <c r="L106" s="237" t="n">
        <v>0</v>
      </c>
      <c r="M106" s="237" t="n">
        <v>1</v>
      </c>
      <c r="N106" s="237" t="n">
        <v>9</v>
      </c>
      <c r="O106" s="237" t="inlineStr">
        <is>
          <t>Ch</t>
        </is>
      </c>
      <c r="P106" s="237" t="inlineStr">
        <is>
          <t>Yes</t>
        </is>
      </c>
      <c r="Q106" s="253" t="n">
        <v>0</v>
      </c>
    </row>
    <row r="107" ht="15" customHeight="1" s="195">
      <c r="A107" s="235" t="n">
        <v>150968658</v>
      </c>
      <c r="B107" s="235" t="n">
        <v>100038951</v>
      </c>
      <c r="C107" s="235" t="inlineStr">
        <is>
          <t>Caucasian</t>
        </is>
      </c>
      <c r="D107" s="235" t="inlineStr">
        <is>
          <t>Male</t>
        </is>
      </c>
      <c r="E107" s="235" t="inlineStr">
        <is>
          <t>[50-60)</t>
        </is>
      </c>
      <c r="F107" s="235" t="n">
        <v>3</v>
      </c>
      <c r="G107" s="235" t="inlineStr">
        <is>
          <t>Family/GeneralPractice</t>
        </is>
      </c>
      <c r="H107" s="235" t="n">
        <v>9</v>
      </c>
      <c r="I107" s="235" t="n">
        <v>0</v>
      </c>
      <c r="J107" s="235" t="n">
        <v>4</v>
      </c>
      <c r="K107" s="235" t="n">
        <v>0</v>
      </c>
      <c r="L107" s="235" t="n">
        <v>0</v>
      </c>
      <c r="M107" s="235" t="n">
        <v>0</v>
      </c>
      <c r="N107" s="235" t="n">
        <v>7</v>
      </c>
      <c r="O107" s="235" t="inlineStr">
        <is>
          <t>No</t>
        </is>
      </c>
      <c r="P107" s="235" t="inlineStr">
        <is>
          <t>Yes</t>
        </is>
      </c>
      <c r="Q107" s="253" t="n">
        <v>0</v>
      </c>
    </row>
    <row r="108" ht="15" customHeight="1" s="195">
      <c r="A108" s="237" t="n">
        <v>24890826</v>
      </c>
      <c r="B108" s="237" t="n">
        <v>3306798</v>
      </c>
      <c r="C108" s="237" t="inlineStr">
        <is>
          <t>Caucasian</t>
        </is>
      </c>
      <c r="D108" s="237" t="inlineStr">
        <is>
          <t>Female</t>
        </is>
      </c>
      <c r="E108" s="237" t="inlineStr">
        <is>
          <t>[60-70)</t>
        </is>
      </c>
      <c r="F108" s="237" t="n">
        <v>3</v>
      </c>
      <c r="G108" s="237" t="inlineStr">
        <is>
          <t>Family/GeneralPractice</t>
        </is>
      </c>
      <c r="H108" s="237" t="n">
        <v>50</v>
      </c>
      <c r="I108" s="237" t="n">
        <v>0</v>
      </c>
      <c r="J108" s="237" t="n">
        <v>13</v>
      </c>
      <c r="K108" s="237" t="n">
        <v>0</v>
      </c>
      <c r="L108" s="237" t="n">
        <v>0</v>
      </c>
      <c r="M108" s="237" t="n">
        <v>2</v>
      </c>
      <c r="N108" s="237" t="n">
        <v>5</v>
      </c>
      <c r="O108" s="237" t="inlineStr">
        <is>
          <t>Ch</t>
        </is>
      </c>
      <c r="P108" s="237" t="inlineStr">
        <is>
          <t>Yes</t>
        </is>
      </c>
      <c r="Q108" s="252" t="n">
        <v>1</v>
      </c>
    </row>
    <row r="109" ht="15" customHeight="1" s="195">
      <c r="A109" s="235" t="n">
        <v>147842244</v>
      </c>
      <c r="B109" s="235" t="n">
        <v>41498469</v>
      </c>
      <c r="C109" s="235" t="inlineStr">
        <is>
          <t>Caucasian</t>
        </is>
      </c>
      <c r="D109" s="235" t="inlineStr">
        <is>
          <t>Male</t>
        </is>
      </c>
      <c r="E109" s="235" t="inlineStr">
        <is>
          <t>[70-80)</t>
        </is>
      </c>
      <c r="F109" s="235" t="n">
        <v>10</v>
      </c>
      <c r="G109" s="235" t="inlineStr">
        <is>
          <t>?</t>
        </is>
      </c>
      <c r="H109" s="235" t="n">
        <v>69</v>
      </c>
      <c r="I109" s="235" t="n">
        <v>6</v>
      </c>
      <c r="J109" s="235" t="n">
        <v>40</v>
      </c>
      <c r="K109" s="235" t="n">
        <v>1</v>
      </c>
      <c r="L109" s="235" t="n">
        <v>0</v>
      </c>
      <c r="M109" s="235" t="n">
        <v>0</v>
      </c>
      <c r="N109" s="235" t="n">
        <v>9</v>
      </c>
      <c r="O109" s="235" t="inlineStr">
        <is>
          <t>Ch</t>
        </is>
      </c>
      <c r="P109" s="235" t="inlineStr">
        <is>
          <t>Yes</t>
        </is>
      </c>
      <c r="Q109" s="252" t="n">
        <v>1</v>
      </c>
    </row>
    <row r="110" ht="15" customHeight="1" s="195">
      <c r="A110" s="237" t="n">
        <v>288867768</v>
      </c>
      <c r="B110" s="237" t="n">
        <v>45861579</v>
      </c>
      <c r="C110" s="237" t="inlineStr">
        <is>
          <t>Caucasian</t>
        </is>
      </c>
      <c r="D110" s="237" t="inlineStr">
        <is>
          <t>Female</t>
        </is>
      </c>
      <c r="E110" s="237" t="inlineStr">
        <is>
          <t>[60-70)</t>
        </is>
      </c>
      <c r="F110" s="237" t="n">
        <v>13</v>
      </c>
      <c r="G110" s="237" t="inlineStr">
        <is>
          <t>Emergency/Trauma</t>
        </is>
      </c>
      <c r="H110" s="237" t="n">
        <v>73</v>
      </c>
      <c r="I110" s="237" t="n">
        <v>2</v>
      </c>
      <c r="J110" s="237" t="n">
        <v>27</v>
      </c>
      <c r="K110" s="237" t="n">
        <v>0</v>
      </c>
      <c r="L110" s="237" t="n">
        <v>0</v>
      </c>
      <c r="M110" s="237" t="n">
        <v>0</v>
      </c>
      <c r="N110" s="237" t="n">
        <v>9</v>
      </c>
      <c r="O110" s="237" t="inlineStr">
        <is>
          <t>Ch</t>
        </is>
      </c>
      <c r="P110" s="237" t="inlineStr">
        <is>
          <t>Yes</t>
        </is>
      </c>
      <c r="Q110" s="253" t="n">
        <v>0</v>
      </c>
    </row>
    <row r="111" ht="15" customHeight="1" s="195">
      <c r="A111" s="235" t="n">
        <v>125604252</v>
      </c>
      <c r="B111" s="235" t="n">
        <v>98208792</v>
      </c>
      <c r="C111" s="235" t="inlineStr">
        <is>
          <t>AfricanAmerican</t>
        </is>
      </c>
      <c r="D111" s="235" t="inlineStr">
        <is>
          <t>Male</t>
        </is>
      </c>
      <c r="E111" s="235" t="inlineStr">
        <is>
          <t>[50-60)</t>
        </is>
      </c>
      <c r="F111" s="235" t="n">
        <v>2</v>
      </c>
      <c r="G111" s="235" t="inlineStr">
        <is>
          <t>Emergency/Trauma</t>
        </is>
      </c>
      <c r="H111" s="235" t="n">
        <v>9</v>
      </c>
      <c r="I111" s="235" t="n">
        <v>3</v>
      </c>
      <c r="J111" s="235" t="n">
        <v>8</v>
      </c>
      <c r="K111" s="235" t="n">
        <v>0</v>
      </c>
      <c r="L111" s="235" t="n">
        <v>0</v>
      </c>
      <c r="M111" s="235" t="n">
        <v>0</v>
      </c>
      <c r="N111" s="235" t="n">
        <v>4</v>
      </c>
      <c r="O111" s="235" t="inlineStr">
        <is>
          <t>Ch</t>
        </is>
      </c>
      <c r="P111" s="235" t="inlineStr">
        <is>
          <t>Yes</t>
        </is>
      </c>
      <c r="Q111" s="253" t="n">
        <v>0</v>
      </c>
    </row>
    <row r="112" ht="15" customHeight="1" s="195">
      <c r="A112" s="237" t="n">
        <v>258745074</v>
      </c>
      <c r="B112" s="237" t="n">
        <v>41500944</v>
      </c>
      <c r="C112" s="237" t="inlineStr">
        <is>
          <t>Caucasian</t>
        </is>
      </c>
      <c r="D112" s="237" t="inlineStr">
        <is>
          <t>Male</t>
        </is>
      </c>
      <c r="E112" s="237" t="inlineStr">
        <is>
          <t>[40-50)</t>
        </is>
      </c>
      <c r="F112" s="237" t="n">
        <v>2</v>
      </c>
      <c r="G112" s="237" t="inlineStr">
        <is>
          <t>Nephrology</t>
        </is>
      </c>
      <c r="H112" s="237" t="n">
        <v>11</v>
      </c>
      <c r="I112" s="237" t="n">
        <v>2</v>
      </c>
      <c r="J112" s="237" t="n">
        <v>18</v>
      </c>
      <c r="K112" s="237" t="n">
        <v>1</v>
      </c>
      <c r="L112" s="237" t="n">
        <v>0</v>
      </c>
      <c r="M112" s="237" t="n">
        <v>3</v>
      </c>
      <c r="N112" s="237" t="n">
        <v>9</v>
      </c>
      <c r="O112" s="237" t="inlineStr">
        <is>
          <t>No</t>
        </is>
      </c>
      <c r="P112" s="237" t="inlineStr">
        <is>
          <t>No</t>
        </is>
      </c>
      <c r="Q112" s="253" t="n">
        <v>0</v>
      </c>
    </row>
    <row r="113" ht="15" customHeight="1" s="195">
      <c r="A113" s="235" t="n">
        <v>24958470</v>
      </c>
      <c r="B113" s="235" t="n">
        <v>23443182</v>
      </c>
      <c r="C113" s="235" t="inlineStr">
        <is>
          <t>Caucasian</t>
        </is>
      </c>
      <c r="D113" s="235" t="inlineStr">
        <is>
          <t>Female</t>
        </is>
      </c>
      <c r="E113" s="235" t="inlineStr">
        <is>
          <t>[40-50)</t>
        </is>
      </c>
      <c r="F113" s="235" t="n">
        <v>4</v>
      </c>
      <c r="G113" s="235" t="inlineStr">
        <is>
          <t>Hematology/Oncology</t>
        </is>
      </c>
      <c r="H113" s="235" t="n">
        <v>24</v>
      </c>
      <c r="I113" s="235" t="n">
        <v>1</v>
      </c>
      <c r="J113" s="235" t="n">
        <v>17</v>
      </c>
      <c r="K113" s="235" t="n">
        <v>0</v>
      </c>
      <c r="L113" s="235" t="n">
        <v>0</v>
      </c>
      <c r="M113" s="235" t="n">
        <v>0</v>
      </c>
      <c r="N113" s="235" t="n">
        <v>6</v>
      </c>
      <c r="O113" s="235" t="inlineStr">
        <is>
          <t>Ch</t>
        </is>
      </c>
      <c r="P113" s="235" t="inlineStr">
        <is>
          <t>Yes</t>
        </is>
      </c>
      <c r="Q113" s="253" t="n">
        <v>0</v>
      </c>
    </row>
    <row r="114" ht="15" customHeight="1" s="195">
      <c r="A114" s="237" t="n">
        <v>180452628</v>
      </c>
      <c r="B114" s="237" t="n">
        <v>41020011</v>
      </c>
      <c r="C114" s="237" t="inlineStr">
        <is>
          <t>Caucasian</t>
        </is>
      </c>
      <c r="D114" s="237" t="inlineStr">
        <is>
          <t>Female</t>
        </is>
      </c>
      <c r="E114" s="237" t="inlineStr">
        <is>
          <t>[90-100)</t>
        </is>
      </c>
      <c r="F114" s="237" t="n">
        <v>12</v>
      </c>
      <c r="G114" s="237" t="inlineStr">
        <is>
          <t>Psychiatry</t>
        </is>
      </c>
      <c r="H114" s="237" t="n">
        <v>64</v>
      </c>
      <c r="I114" s="237" t="n">
        <v>0</v>
      </c>
      <c r="J114" s="237" t="n">
        <v>22</v>
      </c>
      <c r="K114" s="237" t="n">
        <v>0</v>
      </c>
      <c r="L114" s="237" t="n">
        <v>0</v>
      </c>
      <c r="M114" s="237" t="n">
        <v>1</v>
      </c>
      <c r="N114" s="237" t="n">
        <v>7</v>
      </c>
      <c r="O114" s="237" t="inlineStr">
        <is>
          <t>No</t>
        </is>
      </c>
      <c r="P114" s="237" t="inlineStr">
        <is>
          <t>No</t>
        </is>
      </c>
      <c r="Q114" s="252" t="n">
        <v>1</v>
      </c>
    </row>
    <row r="115" ht="15" customHeight="1" s="195">
      <c r="A115" s="235" t="n">
        <v>30697590</v>
      </c>
      <c r="B115" s="235" t="n">
        <v>1321767</v>
      </c>
      <c r="C115" s="235" t="inlineStr">
        <is>
          <t>Caucasian</t>
        </is>
      </c>
      <c r="D115" s="235" t="inlineStr">
        <is>
          <t>Female</t>
        </is>
      </c>
      <c r="E115" s="235" t="inlineStr">
        <is>
          <t>[70-80)</t>
        </is>
      </c>
      <c r="F115" s="235" t="n">
        <v>9</v>
      </c>
      <c r="G115" s="235" t="inlineStr">
        <is>
          <t>?</t>
        </is>
      </c>
      <c r="H115" s="235" t="n">
        <v>44</v>
      </c>
      <c r="I115" s="235" t="n">
        <v>2</v>
      </c>
      <c r="J115" s="235" t="n">
        <v>23</v>
      </c>
      <c r="K115" s="235" t="n">
        <v>0</v>
      </c>
      <c r="L115" s="235" t="n">
        <v>0</v>
      </c>
      <c r="M115" s="235" t="n">
        <v>0</v>
      </c>
      <c r="N115" s="235" t="n">
        <v>9</v>
      </c>
      <c r="O115" s="235" t="inlineStr">
        <is>
          <t>Ch</t>
        </is>
      </c>
      <c r="P115" s="235" t="inlineStr">
        <is>
          <t>Yes</t>
        </is>
      </c>
      <c r="Q115" s="253" t="n">
        <v>0</v>
      </c>
    </row>
    <row r="116" ht="15" customHeight="1" s="195">
      <c r="A116" s="237" t="n">
        <v>113304192</v>
      </c>
      <c r="B116" s="237" t="n">
        <v>24825339</v>
      </c>
      <c r="C116" s="237" t="inlineStr">
        <is>
          <t>AfricanAmerican</t>
        </is>
      </c>
      <c r="D116" s="237" t="inlineStr">
        <is>
          <t>Female</t>
        </is>
      </c>
      <c r="E116" s="237" t="inlineStr">
        <is>
          <t>[70-80)</t>
        </is>
      </c>
      <c r="F116" s="237" t="n">
        <v>6</v>
      </c>
      <c r="G116" s="237" t="inlineStr">
        <is>
          <t>InternalMedicine</t>
        </is>
      </c>
      <c r="H116" s="237" t="n">
        <v>44</v>
      </c>
      <c r="I116" s="237" t="n">
        <v>0</v>
      </c>
      <c r="J116" s="237" t="n">
        <v>24</v>
      </c>
      <c r="K116" s="237" t="n">
        <v>0</v>
      </c>
      <c r="L116" s="237" t="n">
        <v>0</v>
      </c>
      <c r="M116" s="237" t="n">
        <v>0</v>
      </c>
      <c r="N116" s="237" t="n">
        <v>9</v>
      </c>
      <c r="O116" s="237" t="inlineStr">
        <is>
          <t>Ch</t>
        </is>
      </c>
      <c r="P116" s="237" t="inlineStr">
        <is>
          <t>Yes</t>
        </is>
      </c>
      <c r="Q116" s="252" t="n">
        <v>1</v>
      </c>
    </row>
    <row r="117" ht="15" customHeight="1" s="195">
      <c r="A117" s="235" t="n">
        <v>169282128</v>
      </c>
      <c r="B117" s="235" t="n">
        <v>90445752</v>
      </c>
      <c r="C117" s="235" t="inlineStr">
        <is>
          <t>Caucasian</t>
        </is>
      </c>
      <c r="D117" s="235" t="inlineStr">
        <is>
          <t>Female</t>
        </is>
      </c>
      <c r="E117" s="235" t="inlineStr">
        <is>
          <t>[80-90)</t>
        </is>
      </c>
      <c r="F117" s="235" t="n">
        <v>3</v>
      </c>
      <c r="G117" s="235" t="inlineStr">
        <is>
          <t>Emergency/Trauma</t>
        </is>
      </c>
      <c r="H117" s="235" t="n">
        <v>39</v>
      </c>
      <c r="I117" s="235" t="n">
        <v>0</v>
      </c>
      <c r="J117" s="235" t="n">
        <v>18</v>
      </c>
      <c r="K117" s="235" t="n">
        <v>0</v>
      </c>
      <c r="L117" s="235" t="n">
        <v>0</v>
      </c>
      <c r="M117" s="235" t="n">
        <v>0</v>
      </c>
      <c r="N117" s="235" t="n">
        <v>9</v>
      </c>
      <c r="O117" s="235" t="inlineStr">
        <is>
          <t>Ch</t>
        </is>
      </c>
      <c r="P117" s="235" t="inlineStr">
        <is>
          <t>Yes</t>
        </is>
      </c>
      <c r="Q117" s="252" t="n">
        <v>1</v>
      </c>
    </row>
    <row r="118" ht="15" customHeight="1" s="195">
      <c r="A118" s="237" t="n">
        <v>211098330</v>
      </c>
      <c r="B118" s="237" t="n">
        <v>86178285</v>
      </c>
      <c r="C118" s="237" t="inlineStr">
        <is>
          <t>Caucasian</t>
        </is>
      </c>
      <c r="D118" s="237" t="inlineStr">
        <is>
          <t>Female</t>
        </is>
      </c>
      <c r="E118" s="237" t="inlineStr">
        <is>
          <t>[50-60)</t>
        </is>
      </c>
      <c r="F118" s="237" t="n">
        <v>7</v>
      </c>
      <c r="G118" s="237" t="inlineStr">
        <is>
          <t>?</t>
        </is>
      </c>
      <c r="H118" s="237" t="n">
        <v>81</v>
      </c>
      <c r="I118" s="237" t="n">
        <v>3</v>
      </c>
      <c r="J118" s="237" t="n">
        <v>31</v>
      </c>
      <c r="K118" s="237" t="n">
        <v>0</v>
      </c>
      <c r="L118" s="237" t="n">
        <v>0</v>
      </c>
      <c r="M118" s="237" t="n">
        <v>0</v>
      </c>
      <c r="N118" s="237" t="n">
        <v>9</v>
      </c>
      <c r="O118" s="237" t="inlineStr">
        <is>
          <t>No</t>
        </is>
      </c>
      <c r="P118" s="237" t="inlineStr">
        <is>
          <t>No</t>
        </is>
      </c>
      <c r="Q118" s="252" t="n">
        <v>1</v>
      </c>
    </row>
    <row r="119" ht="15" customHeight="1" s="195">
      <c r="A119" s="235" t="n">
        <v>177236256</v>
      </c>
      <c r="B119" s="235" t="n">
        <v>25423308</v>
      </c>
      <c r="C119" s="235" t="inlineStr">
        <is>
          <t>Caucasian</t>
        </is>
      </c>
      <c r="D119" s="235" t="inlineStr">
        <is>
          <t>Female</t>
        </is>
      </c>
      <c r="E119" s="235" t="inlineStr">
        <is>
          <t>[50-60)</t>
        </is>
      </c>
      <c r="F119" s="235" t="n">
        <v>1</v>
      </c>
      <c r="G119" s="235" t="inlineStr">
        <is>
          <t>Orthopedics-Reconstructive</t>
        </is>
      </c>
      <c r="H119" s="235" t="n">
        <v>26</v>
      </c>
      <c r="I119" s="235" t="n">
        <v>2</v>
      </c>
      <c r="J119" s="235" t="n">
        <v>18</v>
      </c>
      <c r="K119" s="235" t="n">
        <v>0</v>
      </c>
      <c r="L119" s="235" t="n">
        <v>0</v>
      </c>
      <c r="M119" s="235" t="n">
        <v>0</v>
      </c>
      <c r="N119" s="235" t="n">
        <v>6</v>
      </c>
      <c r="O119" s="235" t="inlineStr">
        <is>
          <t>No</t>
        </is>
      </c>
      <c r="P119" s="235" t="inlineStr">
        <is>
          <t>No</t>
        </is>
      </c>
      <c r="Q119" s="253" t="n">
        <v>0</v>
      </c>
    </row>
    <row r="120" ht="15" customHeight="1" s="195">
      <c r="A120" s="237" t="n">
        <v>166888248</v>
      </c>
      <c r="B120" s="237" t="n">
        <v>41537034</v>
      </c>
      <c r="C120" s="237" t="inlineStr">
        <is>
          <t>Caucasian</t>
        </is>
      </c>
      <c r="D120" s="237" t="inlineStr">
        <is>
          <t>Male</t>
        </is>
      </c>
      <c r="E120" s="237" t="inlineStr">
        <is>
          <t>[70-80)</t>
        </is>
      </c>
      <c r="F120" s="237" t="n">
        <v>4</v>
      </c>
      <c r="G120" s="237" t="inlineStr">
        <is>
          <t>?</t>
        </is>
      </c>
      <c r="H120" s="237" t="n">
        <v>62</v>
      </c>
      <c r="I120" s="237" t="n">
        <v>0</v>
      </c>
      <c r="J120" s="237" t="n">
        <v>19</v>
      </c>
      <c r="K120" s="237" t="n">
        <v>2</v>
      </c>
      <c r="L120" s="237" t="n">
        <v>0</v>
      </c>
      <c r="M120" s="237" t="n">
        <v>0</v>
      </c>
      <c r="N120" s="237" t="n">
        <v>8</v>
      </c>
      <c r="O120" s="237" t="inlineStr">
        <is>
          <t>No</t>
        </is>
      </c>
      <c r="P120" s="237" t="inlineStr">
        <is>
          <t>No</t>
        </is>
      </c>
      <c r="Q120" s="253" t="n">
        <v>0</v>
      </c>
    </row>
    <row r="121" ht="15" customHeight="1" s="195">
      <c r="A121" s="235" t="n">
        <v>83308740</v>
      </c>
      <c r="B121" s="235" t="n">
        <v>1499382</v>
      </c>
      <c r="C121" s="235" t="inlineStr">
        <is>
          <t>AfricanAmerican</t>
        </is>
      </c>
      <c r="D121" s="235" t="inlineStr">
        <is>
          <t>Female</t>
        </is>
      </c>
      <c r="E121" s="235" t="inlineStr">
        <is>
          <t>[60-70)</t>
        </is>
      </c>
      <c r="F121" s="235" t="n">
        <v>8</v>
      </c>
      <c r="G121" s="235" t="inlineStr">
        <is>
          <t>?</t>
        </is>
      </c>
      <c r="H121" s="235" t="n">
        <v>35</v>
      </c>
      <c r="I121" s="235" t="n">
        <v>1</v>
      </c>
      <c r="J121" s="235" t="n">
        <v>20</v>
      </c>
      <c r="K121" s="235" t="n">
        <v>0</v>
      </c>
      <c r="L121" s="235" t="n">
        <v>0</v>
      </c>
      <c r="M121" s="235" t="n">
        <v>1</v>
      </c>
      <c r="N121" s="235" t="n">
        <v>5</v>
      </c>
      <c r="O121" s="235" t="inlineStr">
        <is>
          <t>Ch</t>
        </is>
      </c>
      <c r="P121" s="235" t="inlineStr">
        <is>
          <t>Yes</t>
        </is>
      </c>
      <c r="Q121" s="253" t="n">
        <v>0</v>
      </c>
    </row>
    <row r="122" ht="15" customHeight="1" s="195">
      <c r="A122" s="237" t="n">
        <v>162872598</v>
      </c>
      <c r="B122" s="237" t="n">
        <v>105428934</v>
      </c>
      <c r="C122" s="237" t="inlineStr">
        <is>
          <t>AfricanAmerican</t>
        </is>
      </c>
      <c r="D122" s="237" t="inlineStr">
        <is>
          <t>Female</t>
        </is>
      </c>
      <c r="E122" s="237" t="inlineStr">
        <is>
          <t>[40-50)</t>
        </is>
      </c>
      <c r="F122" s="237" t="n">
        <v>4</v>
      </c>
      <c r="G122" s="237" t="inlineStr">
        <is>
          <t>?</t>
        </is>
      </c>
      <c r="H122" s="237" t="n">
        <v>59</v>
      </c>
      <c r="I122" s="237" t="n">
        <v>0</v>
      </c>
      <c r="J122" s="237" t="n">
        <v>25</v>
      </c>
      <c r="K122" s="237" t="n">
        <v>4</v>
      </c>
      <c r="L122" s="237" t="n">
        <v>0</v>
      </c>
      <c r="M122" s="237" t="n">
        <v>0</v>
      </c>
      <c r="N122" s="237" t="n">
        <v>9</v>
      </c>
      <c r="O122" s="237" t="inlineStr">
        <is>
          <t>Ch</t>
        </is>
      </c>
      <c r="P122" s="237" t="inlineStr">
        <is>
          <t>Yes</t>
        </is>
      </c>
      <c r="Q122" s="252" t="n">
        <v>1</v>
      </c>
    </row>
    <row r="123" ht="15" customHeight="1" s="195">
      <c r="A123" s="235" t="n">
        <v>203672940</v>
      </c>
      <c r="B123" s="235" t="n">
        <v>106291782</v>
      </c>
      <c r="C123" s="235" t="inlineStr">
        <is>
          <t>Caucasian</t>
        </is>
      </c>
      <c r="D123" s="235" t="inlineStr">
        <is>
          <t>Male</t>
        </is>
      </c>
      <c r="E123" s="235" t="inlineStr">
        <is>
          <t>[60-70)</t>
        </is>
      </c>
      <c r="F123" s="235" t="n">
        <v>5</v>
      </c>
      <c r="G123" s="235" t="inlineStr">
        <is>
          <t>?</t>
        </is>
      </c>
      <c r="H123" s="235" t="n">
        <v>39</v>
      </c>
      <c r="I123" s="235" t="n">
        <v>1</v>
      </c>
      <c r="J123" s="235" t="n">
        <v>7</v>
      </c>
      <c r="K123" s="235" t="n">
        <v>0</v>
      </c>
      <c r="L123" s="235" t="n">
        <v>1</v>
      </c>
      <c r="M123" s="235" t="n">
        <v>0</v>
      </c>
      <c r="N123" s="235" t="n">
        <v>9</v>
      </c>
      <c r="O123" s="235" t="inlineStr">
        <is>
          <t>No</t>
        </is>
      </c>
      <c r="P123" s="235" t="inlineStr">
        <is>
          <t>Yes</t>
        </is>
      </c>
      <c r="Q123" s="252" t="n">
        <v>1</v>
      </c>
    </row>
    <row r="124" ht="15" customHeight="1" s="195">
      <c r="A124" s="237" t="n">
        <v>186476052</v>
      </c>
      <c r="B124" s="237" t="n">
        <v>86318982</v>
      </c>
      <c r="C124" s="237" t="inlineStr">
        <is>
          <t>Caucasian</t>
        </is>
      </c>
      <c r="D124" s="237" t="inlineStr">
        <is>
          <t>Female</t>
        </is>
      </c>
      <c r="E124" s="237" t="inlineStr">
        <is>
          <t>[70-80)</t>
        </is>
      </c>
      <c r="F124" s="237" t="n">
        <v>5</v>
      </c>
      <c r="G124" s="237" t="inlineStr">
        <is>
          <t>?</t>
        </is>
      </c>
      <c r="H124" s="237" t="n">
        <v>40</v>
      </c>
      <c r="I124" s="237" t="n">
        <v>1</v>
      </c>
      <c r="J124" s="237" t="n">
        <v>14</v>
      </c>
      <c r="K124" s="237" t="n">
        <v>2</v>
      </c>
      <c r="L124" s="237" t="n">
        <v>0</v>
      </c>
      <c r="M124" s="237" t="n">
        <v>2</v>
      </c>
      <c r="N124" s="237" t="n">
        <v>9</v>
      </c>
      <c r="O124" s="237" t="inlineStr">
        <is>
          <t>Ch</t>
        </is>
      </c>
      <c r="P124" s="237" t="inlineStr">
        <is>
          <t>Yes</t>
        </is>
      </c>
      <c r="Q124" s="252" t="n">
        <v>1</v>
      </c>
    </row>
    <row r="125" ht="15" customHeight="1" s="195">
      <c r="A125" s="235" t="n">
        <v>85753404</v>
      </c>
      <c r="B125" s="235" t="n">
        <v>71100945</v>
      </c>
      <c r="C125" s="235" t="inlineStr">
        <is>
          <t>AfricanAmerican</t>
        </is>
      </c>
      <c r="D125" s="235" t="inlineStr">
        <is>
          <t>Female</t>
        </is>
      </c>
      <c r="E125" s="235" t="inlineStr">
        <is>
          <t>[60-70)</t>
        </is>
      </c>
      <c r="F125" s="235" t="n">
        <v>1</v>
      </c>
      <c r="G125" s="235" t="inlineStr">
        <is>
          <t>Cardiology</t>
        </is>
      </c>
      <c r="H125" s="235" t="n">
        <v>3</v>
      </c>
      <c r="I125" s="235" t="n">
        <v>2</v>
      </c>
      <c r="J125" s="235" t="n">
        <v>18</v>
      </c>
      <c r="K125" s="235" t="n">
        <v>0</v>
      </c>
      <c r="L125" s="235" t="n">
        <v>0</v>
      </c>
      <c r="M125" s="235" t="n">
        <v>0</v>
      </c>
      <c r="N125" s="235" t="n">
        <v>8</v>
      </c>
      <c r="O125" s="235" t="inlineStr">
        <is>
          <t>No</t>
        </is>
      </c>
      <c r="P125" s="235" t="inlineStr">
        <is>
          <t>No</t>
        </is>
      </c>
      <c r="Q125" s="253" t="n">
        <v>0</v>
      </c>
    </row>
    <row r="126" ht="15" customHeight="1" s="195">
      <c r="A126" s="237" t="n">
        <v>162657768</v>
      </c>
      <c r="B126" s="237" t="n">
        <v>39083283</v>
      </c>
      <c r="C126" s="237" t="inlineStr">
        <is>
          <t>Caucasian</t>
        </is>
      </c>
      <c r="D126" s="237" t="inlineStr">
        <is>
          <t>Male</t>
        </is>
      </c>
      <c r="E126" s="237" t="inlineStr">
        <is>
          <t>[70-80)</t>
        </is>
      </c>
      <c r="F126" s="237" t="n">
        <v>7</v>
      </c>
      <c r="G126" s="237" t="inlineStr">
        <is>
          <t>?</t>
        </is>
      </c>
      <c r="H126" s="237" t="n">
        <v>58</v>
      </c>
      <c r="I126" s="237" t="n">
        <v>0</v>
      </c>
      <c r="J126" s="237" t="n">
        <v>23</v>
      </c>
      <c r="K126" s="237" t="n">
        <v>3</v>
      </c>
      <c r="L126" s="237" t="n">
        <v>1</v>
      </c>
      <c r="M126" s="237" t="n">
        <v>1</v>
      </c>
      <c r="N126" s="237" t="n">
        <v>9</v>
      </c>
      <c r="O126" s="237" t="inlineStr">
        <is>
          <t>Ch</t>
        </is>
      </c>
      <c r="P126" s="237" t="inlineStr">
        <is>
          <t>Yes</t>
        </is>
      </c>
      <c r="Q126" s="252" t="n">
        <v>1</v>
      </c>
    </row>
    <row r="127" ht="15" customHeight="1" s="195">
      <c r="A127" s="235" t="n">
        <v>379633370</v>
      </c>
      <c r="B127" s="235" t="n">
        <v>43768692</v>
      </c>
      <c r="C127" s="235" t="inlineStr">
        <is>
          <t>AfricanAmerican</t>
        </is>
      </c>
      <c r="D127" s="235" t="inlineStr">
        <is>
          <t>Male</t>
        </is>
      </c>
      <c r="E127" s="235" t="inlineStr">
        <is>
          <t>[70-80)</t>
        </is>
      </c>
      <c r="F127" s="235" t="n">
        <v>4</v>
      </c>
      <c r="G127" s="235" t="inlineStr">
        <is>
          <t>?</t>
        </is>
      </c>
      <c r="H127" s="235" t="n">
        <v>35</v>
      </c>
      <c r="I127" s="235" t="n">
        <v>0</v>
      </c>
      <c r="J127" s="235" t="n">
        <v>11</v>
      </c>
      <c r="K127" s="235" t="n">
        <v>0</v>
      </c>
      <c r="L127" s="235" t="n">
        <v>0</v>
      </c>
      <c r="M127" s="235" t="n">
        <v>0</v>
      </c>
      <c r="N127" s="235" t="n">
        <v>9</v>
      </c>
      <c r="O127" s="235" t="inlineStr">
        <is>
          <t>No</t>
        </is>
      </c>
      <c r="P127" s="235" t="inlineStr">
        <is>
          <t>Yes</t>
        </is>
      </c>
      <c r="Q127" s="252" t="n">
        <v>1</v>
      </c>
    </row>
    <row r="128" ht="15" customHeight="1" s="195">
      <c r="A128" s="237" t="n">
        <v>177063990</v>
      </c>
      <c r="B128" s="237" t="n">
        <v>89008614</v>
      </c>
      <c r="C128" s="237" t="inlineStr">
        <is>
          <t>Caucasian</t>
        </is>
      </c>
      <c r="D128" s="237" t="inlineStr">
        <is>
          <t>Male</t>
        </is>
      </c>
      <c r="E128" s="237" t="inlineStr">
        <is>
          <t>[80-90)</t>
        </is>
      </c>
      <c r="F128" s="237" t="n">
        <v>2</v>
      </c>
      <c r="G128" s="237" t="inlineStr">
        <is>
          <t>Urology</t>
        </is>
      </c>
      <c r="H128" s="237" t="n">
        <v>52</v>
      </c>
      <c r="I128" s="237" t="n">
        <v>1</v>
      </c>
      <c r="J128" s="237" t="n">
        <v>20</v>
      </c>
      <c r="K128" s="237" t="n">
        <v>0</v>
      </c>
      <c r="L128" s="237" t="n">
        <v>1</v>
      </c>
      <c r="M128" s="237" t="n">
        <v>2</v>
      </c>
      <c r="N128" s="237" t="n">
        <v>9</v>
      </c>
      <c r="O128" s="237" t="inlineStr">
        <is>
          <t>Ch</t>
        </is>
      </c>
      <c r="P128" s="237" t="inlineStr">
        <is>
          <t>Yes</t>
        </is>
      </c>
      <c r="Q128" s="253" t="n">
        <v>0</v>
      </c>
    </row>
    <row r="129" ht="15" customHeight="1" s="195">
      <c r="A129" s="235" t="n">
        <v>127038228</v>
      </c>
      <c r="B129" s="235" t="n">
        <v>95948226</v>
      </c>
      <c r="C129" s="235" t="inlineStr">
        <is>
          <t>AfricanAmerican</t>
        </is>
      </c>
      <c r="D129" s="235" t="inlineStr">
        <is>
          <t>Male</t>
        </is>
      </c>
      <c r="E129" s="235" t="inlineStr">
        <is>
          <t>[50-60)</t>
        </is>
      </c>
      <c r="F129" s="235" t="n">
        <v>5</v>
      </c>
      <c r="G129" s="235" t="inlineStr">
        <is>
          <t>Surgery-General</t>
        </is>
      </c>
      <c r="H129" s="235" t="n">
        <v>37</v>
      </c>
      <c r="I129" s="235" t="n">
        <v>5</v>
      </c>
      <c r="J129" s="235" t="n">
        <v>8</v>
      </c>
      <c r="K129" s="235" t="n">
        <v>0</v>
      </c>
      <c r="L129" s="235" t="n">
        <v>0</v>
      </c>
      <c r="M129" s="235" t="n">
        <v>0</v>
      </c>
      <c r="N129" s="235" t="n">
        <v>4</v>
      </c>
      <c r="O129" s="235" t="inlineStr">
        <is>
          <t>No</t>
        </is>
      </c>
      <c r="P129" s="235" t="inlineStr">
        <is>
          <t>Yes</t>
        </is>
      </c>
      <c r="Q129" s="253" t="n">
        <v>0</v>
      </c>
    </row>
    <row r="130" ht="15" customHeight="1" s="195">
      <c r="A130" s="237" t="n">
        <v>122800554</v>
      </c>
      <c r="B130" s="237" t="n">
        <v>23226435</v>
      </c>
      <c r="C130" s="237" t="inlineStr">
        <is>
          <t>AfricanAmerican</t>
        </is>
      </c>
      <c r="D130" s="237" t="inlineStr">
        <is>
          <t>Female</t>
        </is>
      </c>
      <c r="E130" s="237" t="inlineStr">
        <is>
          <t>[50-60)</t>
        </is>
      </c>
      <c r="F130" s="237" t="n">
        <v>3</v>
      </c>
      <c r="G130" s="237" t="inlineStr">
        <is>
          <t>Nephrology</t>
        </is>
      </c>
      <c r="H130" s="237" t="n">
        <v>46</v>
      </c>
      <c r="I130" s="237" t="n">
        <v>3</v>
      </c>
      <c r="J130" s="237" t="n">
        <v>19</v>
      </c>
      <c r="K130" s="237" t="n">
        <v>0</v>
      </c>
      <c r="L130" s="237" t="n">
        <v>0</v>
      </c>
      <c r="M130" s="237" t="n">
        <v>3</v>
      </c>
      <c r="N130" s="237" t="n">
        <v>9</v>
      </c>
      <c r="O130" s="237" t="inlineStr">
        <is>
          <t>Ch</t>
        </is>
      </c>
      <c r="P130" s="237" t="inlineStr">
        <is>
          <t>Yes</t>
        </is>
      </c>
      <c r="Q130" s="253" t="n">
        <v>0</v>
      </c>
    </row>
    <row r="131" ht="15" customHeight="1" s="195">
      <c r="A131" s="235" t="n">
        <v>48379632</v>
      </c>
      <c r="B131" s="235" t="n">
        <v>1246482</v>
      </c>
      <c r="C131" s="235" t="inlineStr">
        <is>
          <t>Caucasian</t>
        </is>
      </c>
      <c r="D131" s="235" t="inlineStr">
        <is>
          <t>Male</t>
        </is>
      </c>
      <c r="E131" s="235" t="inlineStr">
        <is>
          <t>[70-80)</t>
        </is>
      </c>
      <c r="F131" s="235" t="n">
        <v>3</v>
      </c>
      <c r="G131" s="235" t="inlineStr">
        <is>
          <t>InternalMedicine</t>
        </is>
      </c>
      <c r="H131" s="235" t="n">
        <v>37</v>
      </c>
      <c r="I131" s="235" t="n">
        <v>0</v>
      </c>
      <c r="J131" s="235" t="n">
        <v>11</v>
      </c>
      <c r="K131" s="235" t="n">
        <v>0</v>
      </c>
      <c r="L131" s="235" t="n">
        <v>0</v>
      </c>
      <c r="M131" s="235" t="n">
        <v>2</v>
      </c>
      <c r="N131" s="235" t="n">
        <v>9</v>
      </c>
      <c r="O131" s="235" t="inlineStr">
        <is>
          <t>No</t>
        </is>
      </c>
      <c r="P131" s="235" t="inlineStr">
        <is>
          <t>Yes</t>
        </is>
      </c>
      <c r="Q131" s="252" t="n">
        <v>1</v>
      </c>
    </row>
    <row r="132" ht="15" customHeight="1" s="195">
      <c r="A132" s="237" t="n">
        <v>153554988</v>
      </c>
      <c r="B132" s="237" t="n">
        <v>75190284</v>
      </c>
      <c r="C132" s="237" t="inlineStr">
        <is>
          <t>AfricanAmerican</t>
        </is>
      </c>
      <c r="D132" s="237" t="inlineStr">
        <is>
          <t>Male</t>
        </is>
      </c>
      <c r="E132" s="237" t="inlineStr">
        <is>
          <t>[40-50)</t>
        </is>
      </c>
      <c r="F132" s="237" t="n">
        <v>3</v>
      </c>
      <c r="G132" s="237" t="inlineStr">
        <is>
          <t>InternalMedicine</t>
        </is>
      </c>
      <c r="H132" s="237" t="n">
        <v>65</v>
      </c>
      <c r="I132" s="237" t="n">
        <v>0</v>
      </c>
      <c r="J132" s="237" t="n">
        <v>17</v>
      </c>
      <c r="K132" s="237" t="n">
        <v>0</v>
      </c>
      <c r="L132" s="237" t="n">
        <v>0</v>
      </c>
      <c r="M132" s="237" t="n">
        <v>0</v>
      </c>
      <c r="N132" s="237" t="n">
        <v>6</v>
      </c>
      <c r="O132" s="237" t="inlineStr">
        <is>
          <t>No</t>
        </is>
      </c>
      <c r="P132" s="237" t="inlineStr">
        <is>
          <t>No</t>
        </is>
      </c>
      <c r="Q132" s="253" t="n">
        <v>0</v>
      </c>
    </row>
    <row r="133" ht="15" customHeight="1" s="195">
      <c r="A133" s="235" t="n">
        <v>93066054</v>
      </c>
      <c r="B133" s="235" t="n">
        <v>5297328</v>
      </c>
      <c r="C133" s="235" t="inlineStr">
        <is>
          <t>AfricanAmerican</t>
        </is>
      </c>
      <c r="D133" s="235" t="inlineStr">
        <is>
          <t>Male</t>
        </is>
      </c>
      <c r="E133" s="235" t="inlineStr">
        <is>
          <t>[70-80)</t>
        </is>
      </c>
      <c r="F133" s="235" t="n">
        <v>6</v>
      </c>
      <c r="G133" s="235" t="inlineStr">
        <is>
          <t>InternalMedicine</t>
        </is>
      </c>
      <c r="H133" s="235" t="n">
        <v>76</v>
      </c>
      <c r="I133" s="235" t="n">
        <v>0</v>
      </c>
      <c r="J133" s="235" t="n">
        <v>14</v>
      </c>
      <c r="K133" s="235" t="n">
        <v>0</v>
      </c>
      <c r="L133" s="235" t="n">
        <v>0</v>
      </c>
      <c r="M133" s="235" t="n">
        <v>0</v>
      </c>
      <c r="N133" s="235" t="n">
        <v>5</v>
      </c>
      <c r="O133" s="235" t="inlineStr">
        <is>
          <t>Ch</t>
        </is>
      </c>
      <c r="P133" s="235" t="inlineStr">
        <is>
          <t>Yes</t>
        </is>
      </c>
      <c r="Q133" s="252" t="n">
        <v>1</v>
      </c>
    </row>
    <row r="134" ht="15" customHeight="1" s="195">
      <c r="A134" s="237" t="n">
        <v>157130556</v>
      </c>
      <c r="B134" s="237" t="n">
        <v>84348792</v>
      </c>
      <c r="C134" s="237" t="inlineStr">
        <is>
          <t>AfricanAmerican</t>
        </is>
      </c>
      <c r="D134" s="237" t="inlineStr">
        <is>
          <t>Female</t>
        </is>
      </c>
      <c r="E134" s="237" t="inlineStr">
        <is>
          <t>[20-30)</t>
        </is>
      </c>
      <c r="F134" s="237" t="n">
        <v>4</v>
      </c>
      <c r="G134" s="237" t="inlineStr">
        <is>
          <t>?</t>
        </is>
      </c>
      <c r="H134" s="237" t="n">
        <v>63</v>
      </c>
      <c r="I134" s="237" t="n">
        <v>2</v>
      </c>
      <c r="J134" s="237" t="n">
        <v>12</v>
      </c>
      <c r="K134" s="237" t="n">
        <v>2</v>
      </c>
      <c r="L134" s="237" t="n">
        <v>5</v>
      </c>
      <c r="M134" s="237" t="n">
        <v>7</v>
      </c>
      <c r="N134" s="237" t="n">
        <v>9</v>
      </c>
      <c r="O134" s="237" t="inlineStr">
        <is>
          <t>No</t>
        </is>
      </c>
      <c r="P134" s="237" t="inlineStr">
        <is>
          <t>No</t>
        </is>
      </c>
      <c r="Q134" s="252" t="n">
        <v>1</v>
      </c>
    </row>
    <row r="135" ht="15" customHeight="1" s="195">
      <c r="A135" s="235" t="n">
        <v>61081968</v>
      </c>
      <c r="B135" s="235" t="n">
        <v>23656473</v>
      </c>
      <c r="C135" s="235" t="inlineStr">
        <is>
          <t>Caucasian</t>
        </is>
      </c>
      <c r="D135" s="235" t="inlineStr">
        <is>
          <t>Female</t>
        </is>
      </c>
      <c r="E135" s="235" t="inlineStr">
        <is>
          <t>[80-90)</t>
        </is>
      </c>
      <c r="F135" s="235" t="n">
        <v>7</v>
      </c>
      <c r="G135" s="235" t="inlineStr">
        <is>
          <t>Surgery-General</t>
        </is>
      </c>
      <c r="H135" s="235" t="n">
        <v>17</v>
      </c>
      <c r="I135" s="235" t="n">
        <v>1</v>
      </c>
      <c r="J135" s="235" t="n">
        <v>19</v>
      </c>
      <c r="K135" s="235" t="n">
        <v>0</v>
      </c>
      <c r="L135" s="235" t="n">
        <v>0</v>
      </c>
      <c r="M135" s="235" t="n">
        <v>1</v>
      </c>
      <c r="N135" s="235" t="n">
        <v>6</v>
      </c>
      <c r="O135" s="235" t="inlineStr">
        <is>
          <t>No</t>
        </is>
      </c>
      <c r="P135" s="235" t="inlineStr">
        <is>
          <t>Yes</t>
        </is>
      </c>
      <c r="Q135" s="252" t="n">
        <v>1</v>
      </c>
    </row>
    <row r="136" ht="15" customHeight="1" s="195">
      <c r="A136" s="237" t="n">
        <v>75658614</v>
      </c>
      <c r="B136" s="237" t="n">
        <v>24269553</v>
      </c>
      <c r="C136" s="237" t="inlineStr">
        <is>
          <t>Caucasian</t>
        </is>
      </c>
      <c r="D136" s="237" t="inlineStr">
        <is>
          <t>Male</t>
        </is>
      </c>
      <c r="E136" s="237" t="inlineStr">
        <is>
          <t>[50-60)</t>
        </is>
      </c>
      <c r="F136" s="237" t="n">
        <v>1</v>
      </c>
      <c r="G136" s="237" t="inlineStr">
        <is>
          <t>Family/GeneralPractice</t>
        </is>
      </c>
      <c r="H136" s="237" t="n">
        <v>23</v>
      </c>
      <c r="I136" s="237" t="n">
        <v>0</v>
      </c>
      <c r="J136" s="237" t="n">
        <v>23</v>
      </c>
      <c r="K136" s="237" t="n">
        <v>1</v>
      </c>
      <c r="L136" s="237" t="n">
        <v>3</v>
      </c>
      <c r="M136" s="237" t="n">
        <v>3</v>
      </c>
      <c r="N136" s="237" t="n">
        <v>9</v>
      </c>
      <c r="O136" s="237" t="inlineStr">
        <is>
          <t>No</t>
        </is>
      </c>
      <c r="P136" s="237" t="inlineStr">
        <is>
          <t>Yes</t>
        </is>
      </c>
      <c r="Q136" s="252" t="n">
        <v>1</v>
      </c>
    </row>
    <row r="137" ht="15" customHeight="1" s="195">
      <c r="A137" s="235" t="n">
        <v>80858310</v>
      </c>
      <c r="B137" s="235" t="n">
        <v>6836121</v>
      </c>
      <c r="C137" s="235" t="inlineStr">
        <is>
          <t>Caucasian</t>
        </is>
      </c>
      <c r="D137" s="235" t="inlineStr">
        <is>
          <t>Male</t>
        </is>
      </c>
      <c r="E137" s="235" t="inlineStr">
        <is>
          <t>[70-80)</t>
        </is>
      </c>
      <c r="F137" s="235" t="n">
        <v>2</v>
      </c>
      <c r="G137" s="235" t="inlineStr">
        <is>
          <t>Pediatrics</t>
        </is>
      </c>
      <c r="H137" s="235" t="n">
        <v>43</v>
      </c>
      <c r="I137" s="235" t="n">
        <v>0</v>
      </c>
      <c r="J137" s="235" t="n">
        <v>13</v>
      </c>
      <c r="K137" s="235" t="n">
        <v>0</v>
      </c>
      <c r="L137" s="235" t="n">
        <v>0</v>
      </c>
      <c r="M137" s="235" t="n">
        <v>0</v>
      </c>
      <c r="N137" s="235" t="n">
        <v>6</v>
      </c>
      <c r="O137" s="235" t="inlineStr">
        <is>
          <t>Ch</t>
        </is>
      </c>
      <c r="P137" s="235" t="inlineStr">
        <is>
          <t>Yes</t>
        </is>
      </c>
      <c r="Q137" s="253" t="n">
        <v>0</v>
      </c>
    </row>
    <row r="138" ht="15" customHeight="1" s="195">
      <c r="A138" s="237" t="n">
        <v>75923130</v>
      </c>
      <c r="B138" s="237" t="n">
        <v>108142866</v>
      </c>
      <c r="C138" s="237" t="inlineStr">
        <is>
          <t>Caucasian</t>
        </is>
      </c>
      <c r="D138" s="237" t="inlineStr">
        <is>
          <t>Female</t>
        </is>
      </c>
      <c r="E138" s="237" t="inlineStr">
        <is>
          <t>[70-80)</t>
        </is>
      </c>
      <c r="F138" s="237" t="n">
        <v>3</v>
      </c>
      <c r="G138" s="237" t="inlineStr">
        <is>
          <t>InternalMedicine</t>
        </is>
      </c>
      <c r="H138" s="237" t="n">
        <v>64</v>
      </c>
      <c r="I138" s="237" t="n">
        <v>0</v>
      </c>
      <c r="J138" s="237" t="n">
        <v>16</v>
      </c>
      <c r="K138" s="237" t="n">
        <v>0</v>
      </c>
      <c r="L138" s="237" t="n">
        <v>0</v>
      </c>
      <c r="M138" s="237" t="n">
        <v>1</v>
      </c>
      <c r="N138" s="237" t="n">
        <v>9</v>
      </c>
      <c r="O138" s="237" t="inlineStr">
        <is>
          <t>No</t>
        </is>
      </c>
      <c r="P138" s="237" t="inlineStr">
        <is>
          <t>No</t>
        </is>
      </c>
      <c r="Q138" s="253" t="n">
        <v>0</v>
      </c>
    </row>
    <row r="139" ht="15" customHeight="1" s="195">
      <c r="A139" s="235" t="n">
        <v>368471732</v>
      </c>
      <c r="B139" s="235" t="n">
        <v>85293837</v>
      </c>
      <c r="C139" s="235" t="inlineStr">
        <is>
          <t>Caucasian</t>
        </is>
      </c>
      <c r="D139" s="235" t="inlineStr">
        <is>
          <t>Female</t>
        </is>
      </c>
      <c r="E139" s="235" t="inlineStr">
        <is>
          <t>[80-90)</t>
        </is>
      </c>
      <c r="F139" s="235" t="n">
        <v>8</v>
      </c>
      <c r="G139" s="235" t="inlineStr">
        <is>
          <t>?</t>
        </is>
      </c>
      <c r="H139" s="235" t="n">
        <v>65</v>
      </c>
      <c r="I139" s="235" t="n">
        <v>2</v>
      </c>
      <c r="J139" s="235" t="n">
        <v>21</v>
      </c>
      <c r="K139" s="235" t="n">
        <v>0</v>
      </c>
      <c r="L139" s="235" t="n">
        <v>1</v>
      </c>
      <c r="M139" s="235" t="n">
        <v>0</v>
      </c>
      <c r="N139" s="235" t="n">
        <v>9</v>
      </c>
      <c r="O139" s="235" t="inlineStr">
        <is>
          <t>No</t>
        </is>
      </c>
      <c r="P139" s="235" t="inlineStr">
        <is>
          <t>Yes</t>
        </is>
      </c>
      <c r="Q139" s="253" t="n">
        <v>0</v>
      </c>
    </row>
    <row r="140" ht="15" customHeight="1" s="195">
      <c r="A140" s="237" t="n">
        <v>361957976</v>
      </c>
      <c r="B140" s="237" t="n">
        <v>33131286</v>
      </c>
      <c r="C140" s="237" t="inlineStr">
        <is>
          <t>Hispanic</t>
        </is>
      </c>
      <c r="D140" s="237" t="inlineStr">
        <is>
          <t>Male</t>
        </is>
      </c>
      <c r="E140" s="237" t="inlineStr">
        <is>
          <t>[40-50)</t>
        </is>
      </c>
      <c r="F140" s="237" t="n">
        <v>3</v>
      </c>
      <c r="G140" s="237" t="inlineStr">
        <is>
          <t>Nephrology</t>
        </is>
      </c>
      <c r="H140" s="237" t="n">
        <v>49</v>
      </c>
      <c r="I140" s="237" t="n">
        <v>1</v>
      </c>
      <c r="J140" s="237" t="n">
        <v>14</v>
      </c>
      <c r="K140" s="237" t="n">
        <v>0</v>
      </c>
      <c r="L140" s="237" t="n">
        <v>0</v>
      </c>
      <c r="M140" s="237" t="n">
        <v>1</v>
      </c>
      <c r="N140" s="237" t="n">
        <v>9</v>
      </c>
      <c r="O140" s="237" t="inlineStr">
        <is>
          <t>No</t>
        </is>
      </c>
      <c r="P140" s="237" t="inlineStr">
        <is>
          <t>Yes</t>
        </is>
      </c>
      <c r="Q140" s="253" t="n">
        <v>0</v>
      </c>
    </row>
    <row r="141" ht="15" customHeight="1" s="195">
      <c r="A141" s="235" t="n">
        <v>91316772</v>
      </c>
      <c r="B141" s="235" t="n">
        <v>483255</v>
      </c>
      <c r="C141" s="235" t="inlineStr">
        <is>
          <t>Caucasian</t>
        </is>
      </c>
      <c r="D141" s="235" t="inlineStr">
        <is>
          <t>Female</t>
        </is>
      </c>
      <c r="E141" s="235" t="inlineStr">
        <is>
          <t>[70-80)</t>
        </is>
      </c>
      <c r="F141" s="235" t="n">
        <v>3</v>
      </c>
      <c r="G141" s="235" t="inlineStr">
        <is>
          <t>InternalMedicine</t>
        </is>
      </c>
      <c r="H141" s="235" t="n">
        <v>1</v>
      </c>
      <c r="I141" s="235" t="n">
        <v>0</v>
      </c>
      <c r="J141" s="235" t="n">
        <v>6</v>
      </c>
      <c r="K141" s="235" t="n">
        <v>0</v>
      </c>
      <c r="L141" s="235" t="n">
        <v>0</v>
      </c>
      <c r="M141" s="235" t="n">
        <v>0</v>
      </c>
      <c r="N141" s="235" t="n">
        <v>5</v>
      </c>
      <c r="O141" s="235" t="inlineStr">
        <is>
          <t>Ch</t>
        </is>
      </c>
      <c r="P141" s="235" t="inlineStr">
        <is>
          <t>Yes</t>
        </is>
      </c>
      <c r="Q141" s="253" t="n">
        <v>0</v>
      </c>
    </row>
    <row r="142" ht="15" customHeight="1" s="195">
      <c r="A142" s="237" t="n">
        <v>29167800</v>
      </c>
      <c r="B142" s="237" t="n">
        <v>125460</v>
      </c>
      <c r="C142" s="237" t="inlineStr">
        <is>
          <t>AfricanAmerican</t>
        </is>
      </c>
      <c r="D142" s="237" t="inlineStr">
        <is>
          <t>Male</t>
        </is>
      </c>
      <c r="E142" s="237" t="inlineStr">
        <is>
          <t>[70-80)</t>
        </is>
      </c>
      <c r="F142" s="237" t="n">
        <v>11</v>
      </c>
      <c r="G142" s="237" t="inlineStr">
        <is>
          <t>?</t>
        </is>
      </c>
      <c r="H142" s="237" t="n">
        <v>71</v>
      </c>
      <c r="I142" s="237" t="n">
        <v>0</v>
      </c>
      <c r="J142" s="237" t="n">
        <v>13</v>
      </c>
      <c r="K142" s="237" t="n">
        <v>0</v>
      </c>
      <c r="L142" s="237" t="n">
        <v>0</v>
      </c>
      <c r="M142" s="237" t="n">
        <v>1</v>
      </c>
      <c r="N142" s="237" t="n">
        <v>9</v>
      </c>
      <c r="O142" s="237" t="inlineStr">
        <is>
          <t>No</t>
        </is>
      </c>
      <c r="P142" s="237" t="inlineStr">
        <is>
          <t>Yes</t>
        </is>
      </c>
      <c r="Q142" s="252" t="n">
        <v>1</v>
      </c>
    </row>
    <row r="143" ht="15" customHeight="1" s="195">
      <c r="A143" s="235" t="n">
        <v>110251782</v>
      </c>
      <c r="B143" s="235" t="n">
        <v>24763473</v>
      </c>
      <c r="C143" s="235" t="inlineStr">
        <is>
          <t>Caucasian</t>
        </is>
      </c>
      <c r="D143" s="235" t="inlineStr">
        <is>
          <t>Male</t>
        </is>
      </c>
      <c r="E143" s="235" t="inlineStr">
        <is>
          <t>[50-60)</t>
        </is>
      </c>
      <c r="F143" s="235" t="n">
        <v>2</v>
      </c>
      <c r="G143" s="235" t="inlineStr">
        <is>
          <t>InternalMedicine</t>
        </is>
      </c>
      <c r="H143" s="235" t="n">
        <v>45</v>
      </c>
      <c r="I143" s="235" t="n">
        <v>0</v>
      </c>
      <c r="J143" s="235" t="n">
        <v>16</v>
      </c>
      <c r="K143" s="235" t="n">
        <v>0</v>
      </c>
      <c r="L143" s="235" t="n">
        <v>0</v>
      </c>
      <c r="M143" s="235" t="n">
        <v>0</v>
      </c>
      <c r="N143" s="235" t="n">
        <v>6</v>
      </c>
      <c r="O143" s="235" t="inlineStr">
        <is>
          <t>No</t>
        </is>
      </c>
      <c r="P143" s="235" t="inlineStr">
        <is>
          <t>Yes</t>
        </is>
      </c>
      <c r="Q143" s="252" t="n">
        <v>1</v>
      </c>
    </row>
    <row r="144" ht="15" customHeight="1" s="195">
      <c r="A144" s="237" t="n">
        <v>150229014</v>
      </c>
      <c r="B144" s="237" t="n">
        <v>62966700</v>
      </c>
      <c r="C144" s="237" t="inlineStr">
        <is>
          <t>Caucasian</t>
        </is>
      </c>
      <c r="D144" s="237" t="inlineStr">
        <is>
          <t>Male</t>
        </is>
      </c>
      <c r="E144" s="237" t="inlineStr">
        <is>
          <t>[70-80)</t>
        </is>
      </c>
      <c r="F144" s="237" t="n">
        <v>3</v>
      </c>
      <c r="G144" s="237" t="inlineStr">
        <is>
          <t>?</t>
        </is>
      </c>
      <c r="H144" s="237" t="n">
        <v>2</v>
      </c>
      <c r="I144" s="237" t="n">
        <v>3</v>
      </c>
      <c r="J144" s="237" t="n">
        <v>19</v>
      </c>
      <c r="K144" s="237" t="n">
        <v>0</v>
      </c>
      <c r="L144" s="237" t="n">
        <v>0</v>
      </c>
      <c r="M144" s="237" t="n">
        <v>1</v>
      </c>
      <c r="N144" s="237" t="n">
        <v>9</v>
      </c>
      <c r="O144" s="237" t="inlineStr">
        <is>
          <t>No</t>
        </is>
      </c>
      <c r="P144" s="237" t="inlineStr">
        <is>
          <t>Yes</t>
        </is>
      </c>
      <c r="Q144" s="252" t="n">
        <v>1</v>
      </c>
    </row>
    <row r="145" ht="15" customHeight="1" s="195">
      <c r="A145" s="235" t="n">
        <v>89028378</v>
      </c>
      <c r="B145" s="235" t="n">
        <v>6845148</v>
      </c>
      <c r="C145" s="235" t="inlineStr">
        <is>
          <t>Caucasian</t>
        </is>
      </c>
      <c r="D145" s="235" t="inlineStr">
        <is>
          <t>Female</t>
        </is>
      </c>
      <c r="E145" s="235" t="inlineStr">
        <is>
          <t>[40-50)</t>
        </is>
      </c>
      <c r="F145" s="235" t="n">
        <v>2</v>
      </c>
      <c r="G145" s="235" t="inlineStr">
        <is>
          <t>Orthopedics-Reconstructive</t>
        </is>
      </c>
      <c r="H145" s="235" t="n">
        <v>33</v>
      </c>
      <c r="I145" s="235" t="n">
        <v>3</v>
      </c>
      <c r="J145" s="235" t="n">
        <v>6</v>
      </c>
      <c r="K145" s="235" t="n">
        <v>0</v>
      </c>
      <c r="L145" s="235" t="n">
        <v>0</v>
      </c>
      <c r="M145" s="235" t="n">
        <v>1</v>
      </c>
      <c r="N145" s="235" t="n">
        <v>5</v>
      </c>
      <c r="O145" s="235" t="inlineStr">
        <is>
          <t>No</t>
        </is>
      </c>
      <c r="P145" s="235" t="inlineStr">
        <is>
          <t>Yes</t>
        </is>
      </c>
      <c r="Q145" s="253" t="n">
        <v>0</v>
      </c>
    </row>
    <row r="146" ht="15" customHeight="1" s="195">
      <c r="A146" s="237" t="n">
        <v>129220092</v>
      </c>
      <c r="B146" s="237" t="n">
        <v>99766827</v>
      </c>
      <c r="C146" s="237" t="inlineStr">
        <is>
          <t>Caucasian</t>
        </is>
      </c>
      <c r="D146" s="237" t="inlineStr">
        <is>
          <t>Male</t>
        </is>
      </c>
      <c r="E146" s="237" t="inlineStr">
        <is>
          <t>[40-50)</t>
        </is>
      </c>
      <c r="F146" s="237" t="n">
        <v>9</v>
      </c>
      <c r="G146" s="237" t="inlineStr">
        <is>
          <t>Urology</t>
        </is>
      </c>
      <c r="H146" s="237" t="n">
        <v>32</v>
      </c>
      <c r="I146" s="237" t="n">
        <v>1</v>
      </c>
      <c r="J146" s="237" t="n">
        <v>19</v>
      </c>
      <c r="K146" s="237" t="n">
        <v>1</v>
      </c>
      <c r="L146" s="237" t="n">
        <v>0</v>
      </c>
      <c r="M146" s="237" t="n">
        <v>4</v>
      </c>
      <c r="N146" s="237" t="n">
        <v>8</v>
      </c>
      <c r="O146" s="237" t="inlineStr">
        <is>
          <t>Ch</t>
        </is>
      </c>
      <c r="P146" s="237" t="inlineStr">
        <is>
          <t>Yes</t>
        </is>
      </c>
      <c r="Q146" s="252" t="n">
        <v>1</v>
      </c>
    </row>
    <row r="147" ht="15" customHeight="1" s="195">
      <c r="A147" s="235" t="n">
        <v>236924274</v>
      </c>
      <c r="B147" s="235" t="n">
        <v>39685284</v>
      </c>
      <c r="C147" s="235" t="inlineStr">
        <is>
          <t>Caucasian</t>
        </is>
      </c>
      <c r="D147" s="235" t="inlineStr">
        <is>
          <t>Male</t>
        </is>
      </c>
      <c r="E147" s="235" t="inlineStr">
        <is>
          <t>[70-80)</t>
        </is>
      </c>
      <c r="F147" s="235" t="n">
        <v>7</v>
      </c>
      <c r="G147" s="235" t="inlineStr">
        <is>
          <t>?</t>
        </is>
      </c>
      <c r="H147" s="235" t="n">
        <v>40</v>
      </c>
      <c r="I147" s="235" t="n">
        <v>5</v>
      </c>
      <c r="J147" s="235" t="n">
        <v>22</v>
      </c>
      <c r="K147" s="235" t="n">
        <v>0</v>
      </c>
      <c r="L147" s="235" t="n">
        <v>0</v>
      </c>
      <c r="M147" s="235" t="n">
        <v>1</v>
      </c>
      <c r="N147" s="235" t="n">
        <v>9</v>
      </c>
      <c r="O147" s="235" t="inlineStr">
        <is>
          <t>No</t>
        </is>
      </c>
      <c r="P147" s="235" t="inlineStr">
        <is>
          <t>Yes</t>
        </is>
      </c>
      <c r="Q147" s="253" t="n">
        <v>0</v>
      </c>
    </row>
    <row r="148" ht="15" customHeight="1" s="195">
      <c r="A148" s="237" t="n">
        <v>180625584</v>
      </c>
      <c r="B148" s="237" t="n">
        <v>52902783</v>
      </c>
      <c r="C148" s="237" t="inlineStr">
        <is>
          <t>Caucasian</t>
        </is>
      </c>
      <c r="D148" s="237" t="inlineStr">
        <is>
          <t>Female</t>
        </is>
      </c>
      <c r="E148" s="237" t="inlineStr">
        <is>
          <t>[70-80)</t>
        </is>
      </c>
      <c r="F148" s="237" t="n">
        <v>4</v>
      </c>
      <c r="G148" s="237" t="inlineStr">
        <is>
          <t>Surgeon</t>
        </is>
      </c>
      <c r="H148" s="237" t="n">
        <v>60</v>
      </c>
      <c r="I148" s="237" t="n">
        <v>3</v>
      </c>
      <c r="J148" s="237" t="n">
        <v>20</v>
      </c>
      <c r="K148" s="237" t="n">
        <v>0</v>
      </c>
      <c r="L148" s="237" t="n">
        <v>0</v>
      </c>
      <c r="M148" s="237" t="n">
        <v>0</v>
      </c>
      <c r="N148" s="237" t="n">
        <v>9</v>
      </c>
      <c r="O148" s="237" t="inlineStr">
        <is>
          <t>No</t>
        </is>
      </c>
      <c r="P148" s="237" t="inlineStr">
        <is>
          <t>No</t>
        </is>
      </c>
      <c r="Q148" s="253" t="n">
        <v>0</v>
      </c>
    </row>
    <row r="149" ht="15" customHeight="1" s="195">
      <c r="A149" s="235" t="n">
        <v>197623566</v>
      </c>
      <c r="B149" s="235" t="n">
        <v>58441239</v>
      </c>
      <c r="C149" s="235" t="inlineStr">
        <is>
          <t>Caucasian</t>
        </is>
      </c>
      <c r="D149" s="235" t="inlineStr">
        <is>
          <t>Female</t>
        </is>
      </c>
      <c r="E149" s="235" t="inlineStr">
        <is>
          <t>[70-80)</t>
        </is>
      </c>
      <c r="F149" s="235" t="n">
        <v>7</v>
      </c>
      <c r="G149" s="235" t="inlineStr">
        <is>
          <t>?</t>
        </is>
      </c>
      <c r="H149" s="235" t="n">
        <v>73</v>
      </c>
      <c r="I149" s="235" t="n">
        <v>2</v>
      </c>
      <c r="J149" s="235" t="n">
        <v>30</v>
      </c>
      <c r="K149" s="235" t="n">
        <v>0</v>
      </c>
      <c r="L149" s="235" t="n">
        <v>0</v>
      </c>
      <c r="M149" s="235" t="n">
        <v>0</v>
      </c>
      <c r="N149" s="235" t="n">
        <v>6</v>
      </c>
      <c r="O149" s="235" t="inlineStr">
        <is>
          <t>Ch</t>
        </is>
      </c>
      <c r="P149" s="235" t="inlineStr">
        <is>
          <t>Yes</t>
        </is>
      </c>
      <c r="Q149" s="253" t="n">
        <v>0</v>
      </c>
    </row>
    <row r="150" ht="15" customHeight="1" s="195">
      <c r="A150" s="237" t="n">
        <v>60175218</v>
      </c>
      <c r="B150" s="237" t="n">
        <v>398313</v>
      </c>
      <c r="C150" s="237" t="inlineStr">
        <is>
          <t>Caucasian</t>
        </is>
      </c>
      <c r="D150" s="237" t="inlineStr">
        <is>
          <t>Female</t>
        </is>
      </c>
      <c r="E150" s="237" t="inlineStr">
        <is>
          <t>[40-50)</t>
        </is>
      </c>
      <c r="F150" s="237" t="n">
        <v>1</v>
      </c>
      <c r="G150" s="237" t="inlineStr">
        <is>
          <t>Urology</t>
        </is>
      </c>
      <c r="H150" s="237" t="n">
        <v>50</v>
      </c>
      <c r="I150" s="237" t="n">
        <v>2</v>
      </c>
      <c r="J150" s="237" t="n">
        <v>13</v>
      </c>
      <c r="K150" s="237" t="n">
        <v>0</v>
      </c>
      <c r="L150" s="237" t="n">
        <v>0</v>
      </c>
      <c r="M150" s="237" t="n">
        <v>1</v>
      </c>
      <c r="N150" s="237" t="n">
        <v>5</v>
      </c>
      <c r="O150" s="237" t="inlineStr">
        <is>
          <t>No</t>
        </is>
      </c>
      <c r="P150" s="237" t="inlineStr">
        <is>
          <t>Yes</t>
        </is>
      </c>
      <c r="Q150" s="252" t="n">
        <v>1</v>
      </c>
    </row>
    <row r="151" ht="15" customHeight="1" s="195">
      <c r="A151" s="235" t="n">
        <v>82426074</v>
      </c>
      <c r="B151" s="235" t="n">
        <v>83463804</v>
      </c>
      <c r="C151" s="235" t="inlineStr">
        <is>
          <t>Caucasian</t>
        </is>
      </c>
      <c r="D151" s="235" t="inlineStr">
        <is>
          <t>Male</t>
        </is>
      </c>
      <c r="E151" s="235" t="inlineStr">
        <is>
          <t>[80-90)</t>
        </is>
      </c>
      <c r="F151" s="235" t="n">
        <v>6</v>
      </c>
      <c r="G151" s="235" t="inlineStr">
        <is>
          <t>InternalMedicine</t>
        </is>
      </c>
      <c r="H151" s="235" t="n">
        <v>64</v>
      </c>
      <c r="I151" s="235" t="n">
        <v>4</v>
      </c>
      <c r="J151" s="235" t="n">
        <v>11</v>
      </c>
      <c r="K151" s="235" t="n">
        <v>0</v>
      </c>
      <c r="L151" s="235" t="n">
        <v>0</v>
      </c>
      <c r="M151" s="235" t="n">
        <v>0</v>
      </c>
      <c r="N151" s="235" t="n">
        <v>9</v>
      </c>
      <c r="O151" s="235" t="inlineStr">
        <is>
          <t>Ch</t>
        </is>
      </c>
      <c r="P151" s="235" t="inlineStr">
        <is>
          <t>Yes</t>
        </is>
      </c>
      <c r="Q151" s="253" t="n">
        <v>0</v>
      </c>
    </row>
    <row r="152" ht="15" customHeight="1" s="195">
      <c r="A152" s="237" t="n">
        <v>73342530</v>
      </c>
      <c r="B152" s="237" t="n">
        <v>20017575</v>
      </c>
      <c r="C152" s="237" t="inlineStr">
        <is>
          <t>Caucasian</t>
        </is>
      </c>
      <c r="D152" s="237" t="inlineStr">
        <is>
          <t>Female</t>
        </is>
      </c>
      <c r="E152" s="237" t="inlineStr">
        <is>
          <t>[20-30)</t>
        </is>
      </c>
      <c r="F152" s="237" t="n">
        <v>2</v>
      </c>
      <c r="G152" s="237" t="inlineStr">
        <is>
          <t>ObstetricsandGynecology</t>
        </is>
      </c>
      <c r="H152" s="237" t="n">
        <v>22</v>
      </c>
      <c r="I152" s="237" t="n">
        <v>2</v>
      </c>
      <c r="J152" s="237" t="n">
        <v>13</v>
      </c>
      <c r="K152" s="237" t="n">
        <v>0</v>
      </c>
      <c r="L152" s="237" t="n">
        <v>0</v>
      </c>
      <c r="M152" s="237" t="n">
        <v>0</v>
      </c>
      <c r="N152" s="237" t="n">
        <v>4</v>
      </c>
      <c r="O152" s="237" t="inlineStr">
        <is>
          <t>No</t>
        </is>
      </c>
      <c r="P152" s="237" t="inlineStr">
        <is>
          <t>No</t>
        </is>
      </c>
      <c r="Q152" s="253" t="n">
        <v>0</v>
      </c>
    </row>
    <row r="153" ht="15" customHeight="1" s="195">
      <c r="A153" s="235" t="n">
        <v>197961636</v>
      </c>
      <c r="B153" s="235" t="n">
        <v>78086574</v>
      </c>
      <c r="C153" s="235" t="inlineStr">
        <is>
          <t>AfricanAmerican</t>
        </is>
      </c>
      <c r="D153" s="235" t="inlineStr">
        <is>
          <t>Female</t>
        </is>
      </c>
      <c r="E153" s="235" t="inlineStr">
        <is>
          <t>[40-50)</t>
        </is>
      </c>
      <c r="F153" s="235" t="n">
        <v>3</v>
      </c>
      <c r="G153" s="235" t="inlineStr">
        <is>
          <t>Family/GeneralPractice</t>
        </is>
      </c>
      <c r="H153" s="235" t="n">
        <v>75</v>
      </c>
      <c r="I153" s="235" t="n">
        <v>0</v>
      </c>
      <c r="J153" s="235" t="n">
        <v>16</v>
      </c>
      <c r="K153" s="235" t="n">
        <v>0</v>
      </c>
      <c r="L153" s="235" t="n">
        <v>0</v>
      </c>
      <c r="M153" s="235" t="n">
        <v>2</v>
      </c>
      <c r="N153" s="235" t="n">
        <v>7</v>
      </c>
      <c r="O153" s="235" t="inlineStr">
        <is>
          <t>No</t>
        </is>
      </c>
      <c r="P153" s="235" t="inlineStr">
        <is>
          <t>Yes</t>
        </is>
      </c>
      <c r="Q153" s="252" t="n">
        <v>1</v>
      </c>
    </row>
    <row r="154" ht="21.75" customHeight="1" s="195">
      <c r="A154" s="237" t="n">
        <v>39723756</v>
      </c>
      <c r="B154" s="237" t="n">
        <v>8648685</v>
      </c>
      <c r="C154" s="237" t="inlineStr">
        <is>
          <t>Caucasian</t>
        </is>
      </c>
      <c r="D154" s="237" t="inlineStr">
        <is>
          <t>Male</t>
        </is>
      </c>
      <c r="E154" s="237" t="inlineStr">
        <is>
          <t>[80-90)</t>
        </is>
      </c>
      <c r="F154" s="237" t="n">
        <v>9</v>
      </c>
      <c r="G154" s="237" t="inlineStr">
        <is>
          <t>PhysicalMedicineandRehabilitation</t>
        </is>
      </c>
      <c r="H154" s="237" t="n">
        <v>53</v>
      </c>
      <c r="I154" s="237" t="n">
        <v>0</v>
      </c>
      <c r="J154" s="237" t="n">
        <v>12</v>
      </c>
      <c r="K154" s="237" t="n">
        <v>0</v>
      </c>
      <c r="L154" s="237" t="n">
        <v>0</v>
      </c>
      <c r="M154" s="237" t="n">
        <v>2</v>
      </c>
      <c r="N154" s="237" t="n">
        <v>9</v>
      </c>
      <c r="O154" s="237" t="inlineStr">
        <is>
          <t>No</t>
        </is>
      </c>
      <c r="P154" s="237" t="inlineStr">
        <is>
          <t>No</t>
        </is>
      </c>
      <c r="Q154" s="252" t="n">
        <v>1</v>
      </c>
    </row>
    <row r="155" ht="15" customHeight="1" s="195">
      <c r="A155" s="235" t="n">
        <v>355422788</v>
      </c>
      <c r="B155" s="235" t="n">
        <v>100261800</v>
      </c>
      <c r="C155" s="235" t="inlineStr">
        <is>
          <t>Caucasian</t>
        </is>
      </c>
      <c r="D155" s="235" t="inlineStr">
        <is>
          <t>Male</t>
        </is>
      </c>
      <c r="E155" s="235" t="inlineStr">
        <is>
          <t>[50-60)</t>
        </is>
      </c>
      <c r="F155" s="235" t="n">
        <v>1</v>
      </c>
      <c r="G155" s="235" t="inlineStr">
        <is>
          <t>InternalMedicine</t>
        </is>
      </c>
      <c r="H155" s="235" t="n">
        <v>58</v>
      </c>
      <c r="I155" s="235" t="n">
        <v>0</v>
      </c>
      <c r="J155" s="235" t="n">
        <v>7</v>
      </c>
      <c r="K155" s="235" t="n">
        <v>1</v>
      </c>
      <c r="L155" s="235" t="n">
        <v>0</v>
      </c>
      <c r="M155" s="235" t="n">
        <v>0</v>
      </c>
      <c r="N155" s="235" t="n">
        <v>9</v>
      </c>
      <c r="O155" s="235" t="inlineStr">
        <is>
          <t>No</t>
        </is>
      </c>
      <c r="P155" s="235" t="inlineStr">
        <is>
          <t>Yes</t>
        </is>
      </c>
      <c r="Q155" s="253" t="n">
        <v>0</v>
      </c>
    </row>
    <row r="156" ht="15" customHeight="1" s="195">
      <c r="A156" s="237" t="n">
        <v>213796524</v>
      </c>
      <c r="B156" s="237" t="n">
        <v>102718638</v>
      </c>
      <c r="C156" s="237" t="inlineStr">
        <is>
          <t>Caucasian</t>
        </is>
      </c>
      <c r="D156" s="237" t="inlineStr">
        <is>
          <t>Male</t>
        </is>
      </c>
      <c r="E156" s="237" t="inlineStr">
        <is>
          <t>[60-70)</t>
        </is>
      </c>
      <c r="F156" s="237" t="n">
        <v>7</v>
      </c>
      <c r="G156" s="237" t="inlineStr">
        <is>
          <t>?</t>
        </is>
      </c>
      <c r="H156" s="237" t="n">
        <v>75</v>
      </c>
      <c r="I156" s="237" t="n">
        <v>0</v>
      </c>
      <c r="J156" s="237" t="n">
        <v>22</v>
      </c>
      <c r="K156" s="237" t="n">
        <v>1</v>
      </c>
      <c r="L156" s="237" t="n">
        <v>1</v>
      </c>
      <c r="M156" s="237" t="n">
        <v>2</v>
      </c>
      <c r="N156" s="237" t="n">
        <v>9</v>
      </c>
      <c r="O156" s="237" t="inlineStr">
        <is>
          <t>No</t>
        </is>
      </c>
      <c r="P156" s="237" t="inlineStr">
        <is>
          <t>No</t>
        </is>
      </c>
      <c r="Q156" s="252" t="n">
        <v>1</v>
      </c>
    </row>
    <row r="157" ht="15" customHeight="1" s="195">
      <c r="A157" s="235" t="n">
        <v>58607940</v>
      </c>
      <c r="B157" s="235" t="n">
        <v>3974130</v>
      </c>
      <c r="C157" s="235" t="inlineStr">
        <is>
          <t>Caucasian</t>
        </is>
      </c>
      <c r="D157" s="235" t="inlineStr">
        <is>
          <t>Female</t>
        </is>
      </c>
      <c r="E157" s="235" t="inlineStr">
        <is>
          <t>[60-70)</t>
        </is>
      </c>
      <c r="F157" s="235" t="n">
        <v>2</v>
      </c>
      <c r="G157" s="235" t="inlineStr">
        <is>
          <t>?</t>
        </is>
      </c>
      <c r="H157" s="235" t="n">
        <v>28</v>
      </c>
      <c r="I157" s="235" t="n">
        <v>0</v>
      </c>
      <c r="J157" s="235" t="n">
        <v>5</v>
      </c>
      <c r="K157" s="235" t="n">
        <v>0</v>
      </c>
      <c r="L157" s="235" t="n">
        <v>0</v>
      </c>
      <c r="M157" s="235" t="n">
        <v>0</v>
      </c>
      <c r="N157" s="235" t="n">
        <v>7</v>
      </c>
      <c r="O157" s="235" t="inlineStr">
        <is>
          <t>Ch</t>
        </is>
      </c>
      <c r="P157" s="235" t="inlineStr">
        <is>
          <t>Yes</t>
        </is>
      </c>
      <c r="Q157" s="253" t="n">
        <v>0</v>
      </c>
    </row>
    <row r="158" ht="21.75" customHeight="1" s="195">
      <c r="A158" s="237" t="n">
        <v>90492186</v>
      </c>
      <c r="B158" s="237" t="n">
        <v>11631555</v>
      </c>
      <c r="C158" s="237" t="inlineStr">
        <is>
          <t>AfricanAmerican</t>
        </is>
      </c>
      <c r="D158" s="237" t="inlineStr">
        <is>
          <t>Female</t>
        </is>
      </c>
      <c r="E158" s="237" t="inlineStr">
        <is>
          <t>[70-80)</t>
        </is>
      </c>
      <c r="F158" s="237" t="n">
        <v>6</v>
      </c>
      <c r="G158" s="237" t="inlineStr">
        <is>
          <t>PhysicalMedicineandRehabilitation</t>
        </is>
      </c>
      <c r="H158" s="237" t="n">
        <v>9</v>
      </c>
      <c r="I158" s="237" t="n">
        <v>0</v>
      </c>
      <c r="J158" s="237" t="n">
        <v>22</v>
      </c>
      <c r="K158" s="237" t="n">
        <v>0</v>
      </c>
      <c r="L158" s="237" t="n">
        <v>0</v>
      </c>
      <c r="M158" s="237" t="n">
        <v>1</v>
      </c>
      <c r="N158" s="237" t="n">
        <v>5</v>
      </c>
      <c r="O158" s="237" t="inlineStr">
        <is>
          <t>Ch</t>
        </is>
      </c>
      <c r="P158" s="237" t="inlineStr">
        <is>
          <t>Yes</t>
        </is>
      </c>
      <c r="Q158" s="252" t="n">
        <v>1</v>
      </c>
    </row>
    <row r="159" ht="15" customHeight="1" s="195">
      <c r="A159" s="235" t="n">
        <v>40800804</v>
      </c>
      <c r="B159" s="235" t="n">
        <v>114902541</v>
      </c>
      <c r="C159" s="235" t="inlineStr">
        <is>
          <t>Caucasian</t>
        </is>
      </c>
      <c r="D159" s="235" t="inlineStr">
        <is>
          <t>Male</t>
        </is>
      </c>
      <c r="E159" s="235" t="inlineStr">
        <is>
          <t>[70-80)</t>
        </is>
      </c>
      <c r="F159" s="235" t="n">
        <v>5</v>
      </c>
      <c r="G159" s="235" t="inlineStr">
        <is>
          <t>InternalMedicine</t>
        </is>
      </c>
      <c r="H159" s="235" t="n">
        <v>70</v>
      </c>
      <c r="I159" s="235" t="n">
        <v>3</v>
      </c>
      <c r="J159" s="235" t="n">
        <v>12</v>
      </c>
      <c r="K159" s="235" t="n">
        <v>0</v>
      </c>
      <c r="L159" s="235" t="n">
        <v>0</v>
      </c>
      <c r="M159" s="235" t="n">
        <v>0</v>
      </c>
      <c r="N159" s="235" t="n">
        <v>6</v>
      </c>
      <c r="O159" s="235" t="inlineStr">
        <is>
          <t>No</t>
        </is>
      </c>
      <c r="P159" s="235" t="inlineStr">
        <is>
          <t>Yes</t>
        </is>
      </c>
      <c r="Q159" s="253" t="n">
        <v>0</v>
      </c>
    </row>
    <row r="160" ht="15" customHeight="1" s="195">
      <c r="A160" s="237" t="n">
        <v>65132514</v>
      </c>
      <c r="B160" s="237" t="n">
        <v>49478976</v>
      </c>
      <c r="C160" s="237" t="inlineStr">
        <is>
          <t>Caucasian</t>
        </is>
      </c>
      <c r="D160" s="237" t="inlineStr">
        <is>
          <t>Male</t>
        </is>
      </c>
      <c r="E160" s="237" t="inlineStr">
        <is>
          <t>[70-80)</t>
        </is>
      </c>
      <c r="F160" s="237" t="n">
        <v>2</v>
      </c>
      <c r="G160" s="237" t="inlineStr">
        <is>
          <t>Cardiology</t>
        </is>
      </c>
      <c r="H160" s="237" t="n">
        <v>50</v>
      </c>
      <c r="I160" s="237" t="n">
        <v>3</v>
      </c>
      <c r="J160" s="237" t="n">
        <v>7</v>
      </c>
      <c r="K160" s="237" t="n">
        <v>0</v>
      </c>
      <c r="L160" s="237" t="n">
        <v>0</v>
      </c>
      <c r="M160" s="237" t="n">
        <v>0</v>
      </c>
      <c r="N160" s="237" t="n">
        <v>6</v>
      </c>
      <c r="O160" s="237" t="inlineStr">
        <is>
          <t>No</t>
        </is>
      </c>
      <c r="P160" s="237" t="inlineStr">
        <is>
          <t>No</t>
        </is>
      </c>
      <c r="Q160" s="252" t="n">
        <v>1</v>
      </c>
    </row>
    <row r="161" ht="15" customHeight="1" s="195">
      <c r="A161" s="235" t="n">
        <v>94010748</v>
      </c>
      <c r="B161" s="235" t="n">
        <v>23550543</v>
      </c>
      <c r="C161" s="235" t="inlineStr">
        <is>
          <t>Caucasian</t>
        </is>
      </c>
      <c r="D161" s="235" t="inlineStr">
        <is>
          <t>Female</t>
        </is>
      </c>
      <c r="E161" s="235" t="inlineStr">
        <is>
          <t>[80-90)</t>
        </is>
      </c>
      <c r="F161" s="235" t="n">
        <v>1</v>
      </c>
      <c r="G161" s="235" t="inlineStr">
        <is>
          <t>Cardiology</t>
        </is>
      </c>
      <c r="H161" s="235" t="n">
        <v>11</v>
      </c>
      <c r="I161" s="235" t="n">
        <v>0</v>
      </c>
      <c r="J161" s="235" t="n">
        <v>5</v>
      </c>
      <c r="K161" s="235" t="n">
        <v>0</v>
      </c>
      <c r="L161" s="235" t="n">
        <v>0</v>
      </c>
      <c r="M161" s="235" t="n">
        <v>0</v>
      </c>
      <c r="N161" s="235" t="n">
        <v>9</v>
      </c>
      <c r="O161" s="235" t="inlineStr">
        <is>
          <t>No</t>
        </is>
      </c>
      <c r="P161" s="235" t="inlineStr">
        <is>
          <t>No</t>
        </is>
      </c>
      <c r="Q161" s="253" t="n">
        <v>0</v>
      </c>
    </row>
    <row r="162" ht="15" customHeight="1" s="195">
      <c r="A162" s="237" t="n">
        <v>100299840</v>
      </c>
      <c r="B162" s="237" t="n">
        <v>22184028</v>
      </c>
      <c r="C162" s="237" t="inlineStr">
        <is>
          <t>Caucasian</t>
        </is>
      </c>
      <c r="D162" s="237" t="inlineStr">
        <is>
          <t>Female</t>
        </is>
      </c>
      <c r="E162" s="237" t="inlineStr">
        <is>
          <t>[30-40)</t>
        </is>
      </c>
      <c r="F162" s="237" t="n">
        <v>3</v>
      </c>
      <c r="G162" s="237" t="inlineStr">
        <is>
          <t>InternalMedicine</t>
        </is>
      </c>
      <c r="H162" s="237" t="n">
        <v>59</v>
      </c>
      <c r="I162" s="237" t="n">
        <v>0</v>
      </c>
      <c r="J162" s="237" t="n">
        <v>16</v>
      </c>
      <c r="K162" s="237" t="n">
        <v>0</v>
      </c>
      <c r="L162" s="237" t="n">
        <v>1</v>
      </c>
      <c r="M162" s="237" t="n">
        <v>0</v>
      </c>
      <c r="N162" s="237" t="n">
        <v>8</v>
      </c>
      <c r="O162" s="237" t="inlineStr">
        <is>
          <t>Ch</t>
        </is>
      </c>
      <c r="P162" s="237" t="inlineStr">
        <is>
          <t>Yes</t>
        </is>
      </c>
      <c r="Q162" s="252" t="n">
        <v>1</v>
      </c>
    </row>
    <row r="163" ht="15" customHeight="1" s="195">
      <c r="A163" s="235" t="n">
        <v>161402166</v>
      </c>
      <c r="B163" s="235" t="n">
        <v>41287248</v>
      </c>
      <c r="C163" s="235" t="inlineStr">
        <is>
          <t>Caucasian</t>
        </is>
      </c>
      <c r="D163" s="235" t="inlineStr">
        <is>
          <t>Female</t>
        </is>
      </c>
      <c r="E163" s="235" t="inlineStr">
        <is>
          <t>[60-70)</t>
        </is>
      </c>
      <c r="F163" s="235" t="n">
        <v>3</v>
      </c>
      <c r="G163" s="235" t="inlineStr">
        <is>
          <t>?</t>
        </is>
      </c>
      <c r="H163" s="235" t="n">
        <v>68</v>
      </c>
      <c r="I163" s="235" t="n">
        <v>2</v>
      </c>
      <c r="J163" s="235" t="n">
        <v>21</v>
      </c>
      <c r="K163" s="235" t="n">
        <v>0</v>
      </c>
      <c r="L163" s="235" t="n">
        <v>0</v>
      </c>
      <c r="M163" s="235" t="n">
        <v>0</v>
      </c>
      <c r="N163" s="235" t="n">
        <v>9</v>
      </c>
      <c r="O163" s="235" t="inlineStr">
        <is>
          <t>Ch</t>
        </is>
      </c>
      <c r="P163" s="235" t="inlineStr">
        <is>
          <t>Yes</t>
        </is>
      </c>
      <c r="Q163" s="253" t="n">
        <v>0</v>
      </c>
    </row>
    <row r="164" ht="15" customHeight="1" s="195">
      <c r="A164" s="237" t="n">
        <v>161484396</v>
      </c>
      <c r="B164" s="237" t="n">
        <v>62663616</v>
      </c>
      <c r="C164" s="237" t="inlineStr">
        <is>
          <t>Caucasian</t>
        </is>
      </c>
      <c r="D164" s="237" t="inlineStr">
        <is>
          <t>Female</t>
        </is>
      </c>
      <c r="E164" s="237" t="inlineStr">
        <is>
          <t>[40-50)</t>
        </is>
      </c>
      <c r="F164" s="237" t="n">
        <v>3</v>
      </c>
      <c r="G164" s="237" t="inlineStr">
        <is>
          <t>?</t>
        </is>
      </c>
      <c r="H164" s="237" t="n">
        <v>28</v>
      </c>
      <c r="I164" s="237" t="n">
        <v>0</v>
      </c>
      <c r="J164" s="237" t="n">
        <v>11</v>
      </c>
      <c r="K164" s="237" t="n">
        <v>0</v>
      </c>
      <c r="L164" s="237" t="n">
        <v>0</v>
      </c>
      <c r="M164" s="237" t="n">
        <v>0</v>
      </c>
      <c r="N164" s="237" t="n">
        <v>2</v>
      </c>
      <c r="O164" s="237" t="inlineStr">
        <is>
          <t>Ch</t>
        </is>
      </c>
      <c r="P164" s="237" t="inlineStr">
        <is>
          <t>Yes</t>
        </is>
      </c>
      <c r="Q164" s="252" t="n">
        <v>1</v>
      </c>
    </row>
    <row r="165" ht="15" customHeight="1" s="195">
      <c r="A165" s="235" t="n">
        <v>186432102</v>
      </c>
      <c r="B165" s="235" t="n">
        <v>102230775</v>
      </c>
      <c r="C165" s="235" t="inlineStr">
        <is>
          <t>Caucasian</t>
        </is>
      </c>
      <c r="D165" s="235" t="inlineStr">
        <is>
          <t>Female</t>
        </is>
      </c>
      <c r="E165" s="235" t="inlineStr">
        <is>
          <t>[50-60)</t>
        </is>
      </c>
      <c r="F165" s="235" t="n">
        <v>1</v>
      </c>
      <c r="G165" s="235" t="inlineStr">
        <is>
          <t>Oncology</t>
        </is>
      </c>
      <c r="H165" s="235" t="n">
        <v>34</v>
      </c>
      <c r="I165" s="235" t="n">
        <v>0</v>
      </c>
      <c r="J165" s="235" t="n">
        <v>4</v>
      </c>
      <c r="K165" s="235" t="n">
        <v>0</v>
      </c>
      <c r="L165" s="235" t="n">
        <v>0</v>
      </c>
      <c r="M165" s="235" t="n">
        <v>1</v>
      </c>
      <c r="N165" s="235" t="n">
        <v>7</v>
      </c>
      <c r="O165" s="235" t="inlineStr">
        <is>
          <t>No</t>
        </is>
      </c>
      <c r="P165" s="235" t="inlineStr">
        <is>
          <t>No</t>
        </is>
      </c>
      <c r="Q165" s="252" t="n">
        <v>1</v>
      </c>
    </row>
    <row r="166" ht="15" customHeight="1" s="195">
      <c r="A166" s="237" t="n">
        <v>252148662</v>
      </c>
      <c r="B166" s="237" t="n">
        <v>28772919</v>
      </c>
      <c r="C166" s="237" t="inlineStr">
        <is>
          <t>Other</t>
        </is>
      </c>
      <c r="D166" s="237" t="inlineStr">
        <is>
          <t>Female</t>
        </is>
      </c>
      <c r="E166" s="237" t="inlineStr">
        <is>
          <t>[30-40)</t>
        </is>
      </c>
      <c r="F166" s="237" t="n">
        <v>2</v>
      </c>
      <c r="G166" s="237" t="inlineStr">
        <is>
          <t>Gynecology</t>
        </is>
      </c>
      <c r="H166" s="237" t="n">
        <v>5</v>
      </c>
      <c r="I166" s="237" t="n">
        <v>0</v>
      </c>
      <c r="J166" s="237" t="n">
        <v>3</v>
      </c>
      <c r="K166" s="237" t="n">
        <v>0</v>
      </c>
      <c r="L166" s="237" t="n">
        <v>0</v>
      </c>
      <c r="M166" s="237" t="n">
        <v>0</v>
      </c>
      <c r="N166" s="237" t="n">
        <v>3</v>
      </c>
      <c r="O166" s="237" t="inlineStr">
        <is>
          <t>Ch</t>
        </is>
      </c>
      <c r="P166" s="237" t="inlineStr">
        <is>
          <t>Yes</t>
        </is>
      </c>
      <c r="Q166" s="252" t="n">
        <v>1</v>
      </c>
    </row>
    <row r="167" ht="15" customHeight="1" s="195">
      <c r="A167" s="235" t="n">
        <v>149853894</v>
      </c>
      <c r="B167" s="235" t="n">
        <v>32868927</v>
      </c>
      <c r="C167" s="235" t="inlineStr">
        <is>
          <t>Caucasian</t>
        </is>
      </c>
      <c r="D167" s="235" t="inlineStr">
        <is>
          <t>Female</t>
        </is>
      </c>
      <c r="E167" s="235" t="inlineStr">
        <is>
          <t>[90-100)</t>
        </is>
      </c>
      <c r="F167" s="235" t="n">
        <v>11</v>
      </c>
      <c r="G167" s="235" t="inlineStr">
        <is>
          <t>Emergency/Trauma</t>
        </is>
      </c>
      <c r="H167" s="235" t="n">
        <v>46</v>
      </c>
      <c r="I167" s="235" t="n">
        <v>0</v>
      </c>
      <c r="J167" s="235" t="n">
        <v>18</v>
      </c>
      <c r="K167" s="235" t="n">
        <v>0</v>
      </c>
      <c r="L167" s="235" t="n">
        <v>0</v>
      </c>
      <c r="M167" s="235" t="n">
        <v>0</v>
      </c>
      <c r="N167" s="235" t="n">
        <v>9</v>
      </c>
      <c r="O167" s="235" t="inlineStr">
        <is>
          <t>No</t>
        </is>
      </c>
      <c r="P167" s="235" t="inlineStr">
        <is>
          <t>No</t>
        </is>
      </c>
      <c r="Q167" s="253" t="n">
        <v>0</v>
      </c>
    </row>
    <row r="168" ht="15" customHeight="1" s="195">
      <c r="A168" s="237" t="n">
        <v>54674508</v>
      </c>
      <c r="B168" s="237" t="n">
        <v>14611716</v>
      </c>
      <c r="C168" s="237" t="inlineStr">
        <is>
          <t>Hispanic</t>
        </is>
      </c>
      <c r="D168" s="237" t="inlineStr">
        <is>
          <t>Female</t>
        </is>
      </c>
      <c r="E168" s="237" t="inlineStr">
        <is>
          <t>[60-70)</t>
        </is>
      </c>
      <c r="F168" s="237" t="n">
        <v>1</v>
      </c>
      <c r="G168" s="237" t="inlineStr">
        <is>
          <t>?</t>
        </is>
      </c>
      <c r="H168" s="237" t="n">
        <v>34</v>
      </c>
      <c r="I168" s="237" t="n">
        <v>0</v>
      </c>
      <c r="J168" s="237" t="n">
        <v>9</v>
      </c>
      <c r="K168" s="237" t="n">
        <v>0</v>
      </c>
      <c r="L168" s="237" t="n">
        <v>0</v>
      </c>
      <c r="M168" s="237" t="n">
        <v>1</v>
      </c>
      <c r="N168" s="237" t="n">
        <v>6</v>
      </c>
      <c r="O168" s="237" t="inlineStr">
        <is>
          <t>No</t>
        </is>
      </c>
      <c r="P168" s="237" t="inlineStr">
        <is>
          <t>No</t>
        </is>
      </c>
      <c r="Q168" s="252" t="n">
        <v>1</v>
      </c>
    </row>
    <row r="169" ht="15" customHeight="1" s="195">
      <c r="A169" s="235" t="n">
        <v>74728692</v>
      </c>
      <c r="B169" s="235" t="n">
        <v>114717375</v>
      </c>
      <c r="C169" s="235" t="inlineStr">
        <is>
          <t>Caucasian</t>
        </is>
      </c>
      <c r="D169" s="235" t="inlineStr">
        <is>
          <t>Male</t>
        </is>
      </c>
      <c r="E169" s="235" t="inlineStr">
        <is>
          <t>[30-40)</t>
        </is>
      </c>
      <c r="F169" s="235" t="n">
        <v>2</v>
      </c>
      <c r="G169" s="235" t="inlineStr">
        <is>
          <t>InternalMedicine</t>
        </is>
      </c>
      <c r="H169" s="235" t="n">
        <v>61</v>
      </c>
      <c r="I169" s="235" t="n">
        <v>0</v>
      </c>
      <c r="J169" s="235" t="n">
        <v>12</v>
      </c>
      <c r="K169" s="235" t="n">
        <v>0</v>
      </c>
      <c r="L169" s="235" t="n">
        <v>0</v>
      </c>
      <c r="M169" s="235" t="n">
        <v>0</v>
      </c>
      <c r="N169" s="235" t="n">
        <v>3</v>
      </c>
      <c r="O169" s="235" t="inlineStr">
        <is>
          <t>Ch</t>
        </is>
      </c>
      <c r="P169" s="235" t="inlineStr">
        <is>
          <t>Yes</t>
        </is>
      </c>
      <c r="Q169" s="253" t="n">
        <v>0</v>
      </c>
    </row>
    <row r="170" ht="15" customHeight="1" s="195">
      <c r="A170" s="237" t="n">
        <v>58041702</v>
      </c>
      <c r="B170" s="237" t="n">
        <v>19465164</v>
      </c>
      <c r="C170" s="237" t="inlineStr">
        <is>
          <t>Caucasian</t>
        </is>
      </c>
      <c r="D170" s="237" t="inlineStr">
        <is>
          <t>Male</t>
        </is>
      </c>
      <c r="E170" s="237" t="inlineStr">
        <is>
          <t>[50-60)</t>
        </is>
      </c>
      <c r="F170" s="237" t="n">
        <v>2</v>
      </c>
      <c r="G170" s="237" t="inlineStr">
        <is>
          <t>?</t>
        </is>
      </c>
      <c r="H170" s="237" t="n">
        <v>34</v>
      </c>
      <c r="I170" s="237" t="n">
        <v>0</v>
      </c>
      <c r="J170" s="237" t="n">
        <v>8</v>
      </c>
      <c r="K170" s="237" t="n">
        <v>0</v>
      </c>
      <c r="L170" s="237" t="n">
        <v>0</v>
      </c>
      <c r="M170" s="237" t="n">
        <v>1</v>
      </c>
      <c r="N170" s="237" t="n">
        <v>8</v>
      </c>
      <c r="O170" s="237" t="inlineStr">
        <is>
          <t>No</t>
        </is>
      </c>
      <c r="P170" s="237" t="inlineStr">
        <is>
          <t>No</t>
        </is>
      </c>
      <c r="Q170" s="253" t="n">
        <v>0</v>
      </c>
    </row>
    <row r="171" ht="15" customHeight="1" s="195">
      <c r="A171" s="235" t="n">
        <v>86915514</v>
      </c>
      <c r="B171" s="235" t="n">
        <v>3172617</v>
      </c>
      <c r="C171" s="235" t="inlineStr">
        <is>
          <t>Hispanic</t>
        </is>
      </c>
      <c r="D171" s="235" t="inlineStr">
        <is>
          <t>Male</t>
        </is>
      </c>
      <c r="E171" s="235" t="inlineStr">
        <is>
          <t>[40-50)</t>
        </is>
      </c>
      <c r="F171" s="235" t="n">
        <v>1</v>
      </c>
      <c r="G171" s="235" t="inlineStr">
        <is>
          <t>Family/GeneralPractice</t>
        </is>
      </c>
      <c r="H171" s="235" t="n">
        <v>40</v>
      </c>
      <c r="I171" s="235" t="n">
        <v>0</v>
      </c>
      <c r="J171" s="235" t="n">
        <v>13</v>
      </c>
      <c r="K171" s="235" t="n">
        <v>0</v>
      </c>
      <c r="L171" s="235" t="n">
        <v>0</v>
      </c>
      <c r="M171" s="235" t="n">
        <v>3</v>
      </c>
      <c r="N171" s="235" t="n">
        <v>9</v>
      </c>
      <c r="O171" s="235" t="inlineStr">
        <is>
          <t>No</t>
        </is>
      </c>
      <c r="P171" s="235" t="inlineStr">
        <is>
          <t>Yes</t>
        </is>
      </c>
      <c r="Q171" s="253" t="n">
        <v>0</v>
      </c>
    </row>
    <row r="172" ht="15" customHeight="1" s="195">
      <c r="A172" s="237" t="n">
        <v>30723732</v>
      </c>
      <c r="B172" s="237" t="n">
        <v>26058465</v>
      </c>
      <c r="C172" s="237" t="inlineStr">
        <is>
          <t>AfricanAmerican</t>
        </is>
      </c>
      <c r="D172" s="237" t="inlineStr">
        <is>
          <t>Male</t>
        </is>
      </c>
      <c r="E172" s="237" t="inlineStr">
        <is>
          <t>[40-50)</t>
        </is>
      </c>
      <c r="F172" s="237" t="n">
        <v>1</v>
      </c>
      <c r="G172" s="237" t="inlineStr">
        <is>
          <t>?</t>
        </is>
      </c>
      <c r="H172" s="237" t="n">
        <v>23</v>
      </c>
      <c r="I172" s="237" t="n">
        <v>2</v>
      </c>
      <c r="J172" s="237" t="n">
        <v>19</v>
      </c>
      <c r="K172" s="237" t="n">
        <v>0</v>
      </c>
      <c r="L172" s="237" t="n">
        <v>0</v>
      </c>
      <c r="M172" s="237" t="n">
        <v>2</v>
      </c>
      <c r="N172" s="237" t="n">
        <v>5</v>
      </c>
      <c r="O172" s="237" t="inlineStr">
        <is>
          <t>Ch</t>
        </is>
      </c>
      <c r="P172" s="237" t="inlineStr">
        <is>
          <t>Yes</t>
        </is>
      </c>
      <c r="Q172" s="253" t="n">
        <v>0</v>
      </c>
    </row>
    <row r="173" ht="15" customHeight="1" s="195">
      <c r="A173" s="235" t="n">
        <v>243120504</v>
      </c>
      <c r="B173" s="235" t="n">
        <v>100688814</v>
      </c>
      <c r="C173" s="235" t="inlineStr">
        <is>
          <t>Caucasian</t>
        </is>
      </c>
      <c r="D173" s="235" t="inlineStr">
        <is>
          <t>Female</t>
        </is>
      </c>
      <c r="E173" s="235" t="inlineStr">
        <is>
          <t>[80-90)</t>
        </is>
      </c>
      <c r="F173" s="235" t="n">
        <v>1</v>
      </c>
      <c r="G173" s="235" t="inlineStr">
        <is>
          <t>?</t>
        </is>
      </c>
      <c r="H173" s="235" t="n">
        <v>42</v>
      </c>
      <c r="I173" s="235" t="n">
        <v>0</v>
      </c>
      <c r="J173" s="235" t="n">
        <v>7</v>
      </c>
      <c r="K173" s="235" t="n">
        <v>2</v>
      </c>
      <c r="L173" s="235" t="n">
        <v>1</v>
      </c>
      <c r="M173" s="235" t="n">
        <v>0</v>
      </c>
      <c r="N173" s="235" t="n">
        <v>7</v>
      </c>
      <c r="O173" s="235" t="inlineStr">
        <is>
          <t>No</t>
        </is>
      </c>
      <c r="P173" s="235" t="inlineStr">
        <is>
          <t>Yes</t>
        </is>
      </c>
      <c r="Q173" s="253" t="n">
        <v>0</v>
      </c>
    </row>
    <row r="174" ht="15" customHeight="1" s="195">
      <c r="A174" s="237" t="n">
        <v>36107376</v>
      </c>
      <c r="B174" s="237" t="n">
        <v>18055827</v>
      </c>
      <c r="C174" s="237" t="inlineStr">
        <is>
          <t>Caucasian</t>
        </is>
      </c>
      <c r="D174" s="237" t="inlineStr">
        <is>
          <t>Male</t>
        </is>
      </c>
      <c r="E174" s="237" t="inlineStr">
        <is>
          <t>[0-10)</t>
        </is>
      </c>
      <c r="F174" s="237" t="n">
        <v>2</v>
      </c>
      <c r="G174" s="237" t="inlineStr">
        <is>
          <t>Pediatrics-Endocrinology</t>
        </is>
      </c>
      <c r="H174" s="237" t="n">
        <v>3</v>
      </c>
      <c r="I174" s="237" t="n">
        <v>0</v>
      </c>
      <c r="J174" s="237" t="n">
        <v>3</v>
      </c>
      <c r="K174" s="237" t="n">
        <v>0</v>
      </c>
      <c r="L174" s="237" t="n">
        <v>0</v>
      </c>
      <c r="M174" s="237" t="n">
        <v>0</v>
      </c>
      <c r="N174" s="237" t="n">
        <v>1</v>
      </c>
      <c r="O174" s="237" t="inlineStr">
        <is>
          <t>No</t>
        </is>
      </c>
      <c r="P174" s="237" t="inlineStr">
        <is>
          <t>Yes</t>
        </is>
      </c>
      <c r="Q174" s="253" t="n">
        <v>0</v>
      </c>
    </row>
    <row r="175" ht="15" customHeight="1" s="195">
      <c r="A175" s="235" t="n">
        <v>433212602</v>
      </c>
      <c r="B175" s="235" t="n">
        <v>38464254</v>
      </c>
      <c r="C175" s="235" t="inlineStr">
        <is>
          <t>?</t>
        </is>
      </c>
      <c r="D175" s="235" t="inlineStr">
        <is>
          <t>Male</t>
        </is>
      </c>
      <c r="E175" s="235" t="inlineStr">
        <is>
          <t>[60-70)</t>
        </is>
      </c>
      <c r="F175" s="235" t="n">
        <v>6</v>
      </c>
      <c r="G175" s="235" t="inlineStr">
        <is>
          <t>?</t>
        </is>
      </c>
      <c r="H175" s="235" t="n">
        <v>41</v>
      </c>
      <c r="I175" s="235" t="n">
        <v>0</v>
      </c>
      <c r="J175" s="235" t="n">
        <v>19</v>
      </c>
      <c r="K175" s="235" t="n">
        <v>0</v>
      </c>
      <c r="L175" s="235" t="n">
        <v>0</v>
      </c>
      <c r="M175" s="235" t="n">
        <v>0</v>
      </c>
      <c r="N175" s="235" t="n">
        <v>7</v>
      </c>
      <c r="O175" s="235" t="inlineStr">
        <is>
          <t>Ch</t>
        </is>
      </c>
      <c r="P175" s="235" t="inlineStr">
        <is>
          <t>Yes</t>
        </is>
      </c>
      <c r="Q175" s="253" t="n">
        <v>0</v>
      </c>
    </row>
    <row r="176" ht="15" customHeight="1" s="195">
      <c r="A176" s="237" t="n">
        <v>77733330</v>
      </c>
      <c r="B176" s="237" t="n">
        <v>33354</v>
      </c>
      <c r="C176" s="237" t="inlineStr">
        <is>
          <t>AfricanAmerican</t>
        </is>
      </c>
      <c r="D176" s="237" t="inlineStr">
        <is>
          <t>Female</t>
        </is>
      </c>
      <c r="E176" s="237" t="inlineStr">
        <is>
          <t>[50-60)</t>
        </is>
      </c>
      <c r="F176" s="237" t="n">
        <v>3</v>
      </c>
      <c r="G176" s="237" t="inlineStr">
        <is>
          <t>Psychiatry</t>
        </is>
      </c>
      <c r="H176" s="237" t="n">
        <v>48</v>
      </c>
      <c r="I176" s="237" t="n">
        <v>0</v>
      </c>
      <c r="J176" s="237" t="n">
        <v>18</v>
      </c>
      <c r="K176" s="237" t="n">
        <v>0</v>
      </c>
      <c r="L176" s="237" t="n">
        <v>0</v>
      </c>
      <c r="M176" s="237" t="n">
        <v>5</v>
      </c>
      <c r="N176" s="237" t="n">
        <v>8</v>
      </c>
      <c r="O176" s="237" t="inlineStr">
        <is>
          <t>No</t>
        </is>
      </c>
      <c r="P176" s="237" t="inlineStr">
        <is>
          <t>Yes</t>
        </is>
      </c>
      <c r="Q176" s="252" t="n">
        <v>1</v>
      </c>
    </row>
    <row r="177" ht="15" customHeight="1" s="195">
      <c r="A177" s="235" t="n">
        <v>426797072</v>
      </c>
      <c r="B177" s="235" t="n">
        <v>121635149</v>
      </c>
      <c r="C177" s="235" t="inlineStr">
        <is>
          <t>Caucasian</t>
        </is>
      </c>
      <c r="D177" s="235" t="inlineStr">
        <is>
          <t>Female</t>
        </is>
      </c>
      <c r="E177" s="235" t="inlineStr">
        <is>
          <t>[80-90)</t>
        </is>
      </c>
      <c r="F177" s="235" t="n">
        <v>5</v>
      </c>
      <c r="G177" s="235" t="inlineStr">
        <is>
          <t>?</t>
        </is>
      </c>
      <c r="H177" s="235" t="n">
        <v>20</v>
      </c>
      <c r="I177" s="235" t="n">
        <v>4</v>
      </c>
      <c r="J177" s="235" t="n">
        <v>18</v>
      </c>
      <c r="K177" s="235" t="n">
        <v>0</v>
      </c>
      <c r="L177" s="235" t="n">
        <v>0</v>
      </c>
      <c r="M177" s="235" t="n">
        <v>1</v>
      </c>
      <c r="N177" s="235" t="n">
        <v>9</v>
      </c>
      <c r="O177" s="235" t="inlineStr">
        <is>
          <t>Ch</t>
        </is>
      </c>
      <c r="P177" s="235" t="inlineStr">
        <is>
          <t>Yes</t>
        </is>
      </c>
      <c r="Q177" s="253" t="n">
        <v>0</v>
      </c>
    </row>
    <row r="178" ht="15" customHeight="1" s="195">
      <c r="A178" s="237" t="n">
        <v>126266526</v>
      </c>
      <c r="B178" s="237" t="n">
        <v>69940503</v>
      </c>
      <c r="C178" s="237" t="inlineStr">
        <is>
          <t>Caucasian</t>
        </is>
      </c>
      <c r="D178" s="237" t="inlineStr">
        <is>
          <t>Male</t>
        </is>
      </c>
      <c r="E178" s="237" t="inlineStr">
        <is>
          <t>[70-80)</t>
        </is>
      </c>
      <c r="F178" s="237" t="n">
        <v>1</v>
      </c>
      <c r="G178" s="237" t="inlineStr">
        <is>
          <t>InternalMedicine</t>
        </is>
      </c>
      <c r="H178" s="237" t="n">
        <v>69</v>
      </c>
      <c r="I178" s="237" t="n">
        <v>0</v>
      </c>
      <c r="J178" s="237" t="n">
        <v>10</v>
      </c>
      <c r="K178" s="237" t="n">
        <v>0</v>
      </c>
      <c r="L178" s="237" t="n">
        <v>0</v>
      </c>
      <c r="M178" s="237" t="n">
        <v>0</v>
      </c>
      <c r="N178" s="237" t="n">
        <v>9</v>
      </c>
      <c r="O178" s="237" t="inlineStr">
        <is>
          <t>Ch</t>
        </is>
      </c>
      <c r="P178" s="237" t="inlineStr">
        <is>
          <t>Yes</t>
        </is>
      </c>
      <c r="Q178" s="252" t="n">
        <v>1</v>
      </c>
    </row>
    <row r="179" ht="15" customHeight="1" s="195">
      <c r="A179" s="235" t="n">
        <v>239162748</v>
      </c>
      <c r="B179" s="235" t="n">
        <v>98427600</v>
      </c>
      <c r="C179" s="235" t="inlineStr">
        <is>
          <t>AfricanAmerican</t>
        </is>
      </c>
      <c r="D179" s="235" t="inlineStr">
        <is>
          <t>Female</t>
        </is>
      </c>
      <c r="E179" s="235" t="inlineStr">
        <is>
          <t>[50-60)</t>
        </is>
      </c>
      <c r="F179" s="235" t="n">
        <v>3</v>
      </c>
      <c r="G179" s="235" t="inlineStr">
        <is>
          <t>?</t>
        </is>
      </c>
      <c r="H179" s="235" t="n">
        <v>46</v>
      </c>
      <c r="I179" s="235" t="n">
        <v>0</v>
      </c>
      <c r="J179" s="235" t="n">
        <v>14</v>
      </c>
      <c r="K179" s="235" t="n">
        <v>0</v>
      </c>
      <c r="L179" s="235" t="n">
        <v>0</v>
      </c>
      <c r="M179" s="235" t="n">
        <v>1</v>
      </c>
      <c r="N179" s="235" t="n">
        <v>5</v>
      </c>
      <c r="O179" s="235" t="inlineStr">
        <is>
          <t>Ch</t>
        </is>
      </c>
      <c r="P179" s="235" t="inlineStr">
        <is>
          <t>Yes</t>
        </is>
      </c>
      <c r="Q179" s="252" t="n">
        <v>1</v>
      </c>
    </row>
    <row r="180" ht="15" customHeight="1" s="195">
      <c r="A180" s="237" t="n">
        <v>415519454</v>
      </c>
      <c r="B180" s="237" t="n">
        <v>57803409</v>
      </c>
      <c r="C180" s="237" t="inlineStr">
        <is>
          <t>Caucasian</t>
        </is>
      </c>
      <c r="D180" s="237" t="inlineStr">
        <is>
          <t>Female</t>
        </is>
      </c>
      <c r="E180" s="237" t="inlineStr">
        <is>
          <t>[70-80)</t>
        </is>
      </c>
      <c r="F180" s="237" t="n">
        <v>3</v>
      </c>
      <c r="G180" s="237" t="inlineStr">
        <is>
          <t>?</t>
        </is>
      </c>
      <c r="H180" s="237" t="n">
        <v>63</v>
      </c>
      <c r="I180" s="237" t="n">
        <v>0</v>
      </c>
      <c r="J180" s="237" t="n">
        <v>16</v>
      </c>
      <c r="K180" s="237" t="n">
        <v>0</v>
      </c>
      <c r="L180" s="237" t="n">
        <v>0</v>
      </c>
      <c r="M180" s="237" t="n">
        <v>0</v>
      </c>
      <c r="N180" s="237" t="n">
        <v>9</v>
      </c>
      <c r="O180" s="237" t="inlineStr">
        <is>
          <t>Ch</t>
        </is>
      </c>
      <c r="P180" s="237" t="inlineStr">
        <is>
          <t>Yes</t>
        </is>
      </c>
      <c r="Q180" s="253" t="n">
        <v>0</v>
      </c>
    </row>
    <row r="181" ht="15" customHeight="1" s="195">
      <c r="A181" s="235" t="n">
        <v>111051246</v>
      </c>
      <c r="B181" s="235" t="n">
        <v>23378679</v>
      </c>
      <c r="C181" s="235" t="inlineStr">
        <is>
          <t>Caucasian</t>
        </is>
      </c>
      <c r="D181" s="235" t="inlineStr">
        <is>
          <t>Female</t>
        </is>
      </c>
      <c r="E181" s="235" t="inlineStr">
        <is>
          <t>[70-80)</t>
        </is>
      </c>
      <c r="F181" s="235" t="n">
        <v>6</v>
      </c>
      <c r="G181" s="235" t="inlineStr">
        <is>
          <t>?</t>
        </is>
      </c>
      <c r="H181" s="235" t="n">
        <v>10</v>
      </c>
      <c r="I181" s="235" t="n">
        <v>0</v>
      </c>
      <c r="J181" s="235" t="n">
        <v>17</v>
      </c>
      <c r="K181" s="235" t="n">
        <v>4</v>
      </c>
      <c r="L181" s="235" t="n">
        <v>0</v>
      </c>
      <c r="M181" s="235" t="n">
        <v>0</v>
      </c>
      <c r="N181" s="235" t="n">
        <v>8</v>
      </c>
      <c r="O181" s="235" t="inlineStr">
        <is>
          <t>No</t>
        </is>
      </c>
      <c r="P181" s="235" t="inlineStr">
        <is>
          <t>Yes</t>
        </is>
      </c>
      <c r="Q181" s="253" t="n">
        <v>0</v>
      </c>
    </row>
    <row r="182" ht="15" customHeight="1" s="195">
      <c r="A182" s="237" t="n">
        <v>262813338</v>
      </c>
      <c r="B182" s="237" t="n">
        <v>62291403</v>
      </c>
      <c r="C182" s="237" t="inlineStr">
        <is>
          <t>AfricanAmerican</t>
        </is>
      </c>
      <c r="D182" s="237" t="inlineStr">
        <is>
          <t>Male</t>
        </is>
      </c>
      <c r="E182" s="237" t="inlineStr">
        <is>
          <t>[60-70)</t>
        </is>
      </c>
      <c r="F182" s="237" t="n">
        <v>5</v>
      </c>
      <c r="G182" s="237" t="inlineStr">
        <is>
          <t>?</t>
        </is>
      </c>
      <c r="H182" s="237" t="n">
        <v>79</v>
      </c>
      <c r="I182" s="237" t="n">
        <v>0</v>
      </c>
      <c r="J182" s="237" t="n">
        <v>15</v>
      </c>
      <c r="K182" s="237" t="n">
        <v>0</v>
      </c>
      <c r="L182" s="237" t="n">
        <v>0</v>
      </c>
      <c r="M182" s="237" t="n">
        <v>0</v>
      </c>
      <c r="N182" s="237" t="n">
        <v>6</v>
      </c>
      <c r="O182" s="237" t="inlineStr">
        <is>
          <t>No</t>
        </is>
      </c>
      <c r="P182" s="237" t="inlineStr">
        <is>
          <t>Yes</t>
        </is>
      </c>
      <c r="Q182" s="253" t="n">
        <v>0</v>
      </c>
    </row>
    <row r="183" ht="15" customHeight="1" s="195">
      <c r="A183" s="235" t="n">
        <v>92539248</v>
      </c>
      <c r="B183" s="235" t="n">
        <v>72467676</v>
      </c>
      <c r="C183" s="235" t="inlineStr">
        <is>
          <t>Caucasian</t>
        </is>
      </c>
      <c r="D183" s="235" t="inlineStr">
        <is>
          <t>Female</t>
        </is>
      </c>
      <c r="E183" s="235" t="inlineStr">
        <is>
          <t>[40-50)</t>
        </is>
      </c>
      <c r="F183" s="235" t="n">
        <v>1</v>
      </c>
      <c r="G183" s="235" t="inlineStr">
        <is>
          <t>Family/GeneralPractice</t>
        </is>
      </c>
      <c r="H183" s="235" t="n">
        <v>67</v>
      </c>
      <c r="I183" s="235" t="n">
        <v>1</v>
      </c>
      <c r="J183" s="235" t="n">
        <v>14</v>
      </c>
      <c r="K183" s="235" t="n">
        <v>0</v>
      </c>
      <c r="L183" s="235" t="n">
        <v>0</v>
      </c>
      <c r="M183" s="235" t="n">
        <v>1</v>
      </c>
      <c r="N183" s="235" t="n">
        <v>9</v>
      </c>
      <c r="O183" s="235" t="inlineStr">
        <is>
          <t>No</t>
        </is>
      </c>
      <c r="P183" s="235" t="inlineStr">
        <is>
          <t>No</t>
        </is>
      </c>
      <c r="Q183" s="252" t="n">
        <v>1</v>
      </c>
    </row>
    <row r="184" ht="15" customHeight="1" s="195">
      <c r="A184" s="237" t="n">
        <v>71028810</v>
      </c>
      <c r="B184" s="237" t="n">
        <v>41895927</v>
      </c>
      <c r="C184" s="237" t="inlineStr">
        <is>
          <t>Caucasian</t>
        </is>
      </c>
      <c r="D184" s="237" t="inlineStr">
        <is>
          <t>Male</t>
        </is>
      </c>
      <c r="E184" s="237" t="inlineStr">
        <is>
          <t>[50-60)</t>
        </is>
      </c>
      <c r="F184" s="237" t="n">
        <v>4</v>
      </c>
      <c r="G184" s="237" t="inlineStr">
        <is>
          <t>Pulmonology</t>
        </is>
      </c>
      <c r="H184" s="237" t="n">
        <v>60</v>
      </c>
      <c r="I184" s="237" t="n">
        <v>0</v>
      </c>
      <c r="J184" s="237" t="n">
        <v>15</v>
      </c>
      <c r="K184" s="237" t="n">
        <v>0</v>
      </c>
      <c r="L184" s="237" t="n">
        <v>0</v>
      </c>
      <c r="M184" s="237" t="n">
        <v>1</v>
      </c>
      <c r="N184" s="237" t="n">
        <v>5</v>
      </c>
      <c r="O184" s="237" t="inlineStr">
        <is>
          <t>Ch</t>
        </is>
      </c>
      <c r="P184" s="237" t="inlineStr">
        <is>
          <t>Yes</t>
        </is>
      </c>
      <c r="Q184" s="252" t="n">
        <v>1</v>
      </c>
    </row>
    <row r="185" ht="15" customHeight="1" s="195">
      <c r="A185" s="235" t="n">
        <v>139399674</v>
      </c>
      <c r="B185" s="235" t="n">
        <v>24784947</v>
      </c>
      <c r="C185" s="235" t="inlineStr">
        <is>
          <t>AfricanAmerican</t>
        </is>
      </c>
      <c r="D185" s="235" t="inlineStr">
        <is>
          <t>Male</t>
        </is>
      </c>
      <c r="E185" s="235" t="inlineStr">
        <is>
          <t>[70-80)</t>
        </is>
      </c>
      <c r="F185" s="235" t="n">
        <v>9</v>
      </c>
      <c r="G185" s="235" t="inlineStr">
        <is>
          <t>InternalMedicine</t>
        </is>
      </c>
      <c r="H185" s="235" t="n">
        <v>57</v>
      </c>
      <c r="I185" s="235" t="n">
        <v>5</v>
      </c>
      <c r="J185" s="235" t="n">
        <v>47</v>
      </c>
      <c r="K185" s="235" t="n">
        <v>1</v>
      </c>
      <c r="L185" s="235" t="n">
        <v>0</v>
      </c>
      <c r="M185" s="235" t="n">
        <v>1</v>
      </c>
      <c r="N185" s="235" t="n">
        <v>9</v>
      </c>
      <c r="O185" s="235" t="inlineStr">
        <is>
          <t>Ch</t>
        </is>
      </c>
      <c r="P185" s="235" t="inlineStr">
        <is>
          <t>Yes</t>
        </is>
      </c>
      <c r="Q185" s="253" t="n">
        <v>0</v>
      </c>
    </row>
    <row r="186" ht="15" customHeight="1" s="195">
      <c r="A186" s="237" t="n">
        <v>155930334</v>
      </c>
      <c r="B186" s="237" t="n">
        <v>23263713</v>
      </c>
      <c r="C186" s="237" t="inlineStr">
        <is>
          <t>Caucasian</t>
        </is>
      </c>
      <c r="D186" s="237" t="inlineStr">
        <is>
          <t>Female</t>
        </is>
      </c>
      <c r="E186" s="237" t="inlineStr">
        <is>
          <t>[60-70)</t>
        </is>
      </c>
      <c r="F186" s="237" t="n">
        <v>7</v>
      </c>
      <c r="G186" s="237" t="inlineStr">
        <is>
          <t>Family/GeneralPractice</t>
        </is>
      </c>
      <c r="H186" s="237" t="n">
        <v>44</v>
      </c>
      <c r="I186" s="237" t="n">
        <v>1</v>
      </c>
      <c r="J186" s="237" t="n">
        <v>22</v>
      </c>
      <c r="K186" s="237" t="n">
        <v>0</v>
      </c>
      <c r="L186" s="237" t="n">
        <v>0</v>
      </c>
      <c r="M186" s="237" t="n">
        <v>0</v>
      </c>
      <c r="N186" s="237" t="n">
        <v>7</v>
      </c>
      <c r="O186" s="237" t="inlineStr">
        <is>
          <t>No</t>
        </is>
      </c>
      <c r="P186" s="237" t="inlineStr">
        <is>
          <t>Yes</t>
        </is>
      </c>
      <c r="Q186" s="253" t="n">
        <v>0</v>
      </c>
    </row>
    <row r="187" ht="15" customHeight="1" s="195">
      <c r="A187" s="235" t="n">
        <v>59172450</v>
      </c>
      <c r="B187" s="235" t="n">
        <v>25873722</v>
      </c>
      <c r="C187" s="235" t="inlineStr">
        <is>
          <t>Asian</t>
        </is>
      </c>
      <c r="D187" s="235" t="inlineStr">
        <is>
          <t>Female</t>
        </is>
      </c>
      <c r="E187" s="235" t="inlineStr">
        <is>
          <t>[80-90)</t>
        </is>
      </c>
      <c r="F187" s="235" t="n">
        <v>5</v>
      </c>
      <c r="G187" s="235" t="inlineStr">
        <is>
          <t>?</t>
        </is>
      </c>
      <c r="H187" s="235" t="n">
        <v>25</v>
      </c>
      <c r="I187" s="235" t="n">
        <v>0</v>
      </c>
      <c r="J187" s="235" t="n">
        <v>21</v>
      </c>
      <c r="K187" s="235" t="n">
        <v>0</v>
      </c>
      <c r="L187" s="235" t="n">
        <v>2</v>
      </c>
      <c r="M187" s="235" t="n">
        <v>0</v>
      </c>
      <c r="N187" s="235" t="n">
        <v>6</v>
      </c>
      <c r="O187" s="235" t="inlineStr">
        <is>
          <t>Ch</t>
        </is>
      </c>
      <c r="P187" s="235" t="inlineStr">
        <is>
          <t>Yes</t>
        </is>
      </c>
      <c r="Q187" s="253" t="n">
        <v>0</v>
      </c>
    </row>
    <row r="188" ht="15" customHeight="1" s="195">
      <c r="A188" s="237" t="n">
        <v>257042712</v>
      </c>
      <c r="B188" s="237" t="n">
        <v>97544187</v>
      </c>
      <c r="C188" s="237" t="inlineStr">
        <is>
          <t>AfricanAmerican</t>
        </is>
      </c>
      <c r="D188" s="237" t="inlineStr">
        <is>
          <t>Female</t>
        </is>
      </c>
      <c r="E188" s="237" t="inlineStr">
        <is>
          <t>[80-90)</t>
        </is>
      </c>
      <c r="F188" s="237" t="n">
        <v>2</v>
      </c>
      <c r="G188" s="237" t="inlineStr">
        <is>
          <t>?</t>
        </is>
      </c>
      <c r="H188" s="237" t="n">
        <v>61</v>
      </c>
      <c r="I188" s="237" t="n">
        <v>0</v>
      </c>
      <c r="J188" s="237" t="n">
        <v>9</v>
      </c>
      <c r="K188" s="237" t="n">
        <v>0</v>
      </c>
      <c r="L188" s="237" t="n">
        <v>1</v>
      </c>
      <c r="M188" s="237" t="n">
        <v>1</v>
      </c>
      <c r="N188" s="237" t="n">
        <v>8</v>
      </c>
      <c r="O188" s="237" t="inlineStr">
        <is>
          <t>No</t>
        </is>
      </c>
      <c r="P188" s="237" t="inlineStr">
        <is>
          <t>No</t>
        </is>
      </c>
      <c r="Q188" s="253" t="n">
        <v>0</v>
      </c>
    </row>
    <row r="189" ht="15" customHeight="1" s="195">
      <c r="A189" s="235" t="n">
        <v>60521832</v>
      </c>
      <c r="B189" s="235" t="n">
        <v>11268045</v>
      </c>
      <c r="C189" s="235" t="inlineStr">
        <is>
          <t>AfricanAmerican</t>
        </is>
      </c>
      <c r="D189" s="235" t="inlineStr">
        <is>
          <t>Male</t>
        </is>
      </c>
      <c r="E189" s="235" t="inlineStr">
        <is>
          <t>[60-70)</t>
        </is>
      </c>
      <c r="F189" s="235" t="n">
        <v>1</v>
      </c>
      <c r="G189" s="235" t="inlineStr">
        <is>
          <t>Family/GeneralPractice</t>
        </is>
      </c>
      <c r="H189" s="235" t="n">
        <v>31</v>
      </c>
      <c r="I189" s="235" t="n">
        <v>0</v>
      </c>
      <c r="J189" s="235" t="n">
        <v>5</v>
      </c>
      <c r="K189" s="235" t="n">
        <v>0</v>
      </c>
      <c r="L189" s="235" t="n">
        <v>0</v>
      </c>
      <c r="M189" s="235" t="n">
        <v>0</v>
      </c>
      <c r="N189" s="235" t="n">
        <v>5</v>
      </c>
      <c r="O189" s="235" t="inlineStr">
        <is>
          <t>No</t>
        </is>
      </c>
      <c r="P189" s="235" t="inlineStr">
        <is>
          <t>No</t>
        </is>
      </c>
      <c r="Q189" s="253" t="n">
        <v>0</v>
      </c>
    </row>
    <row r="190" ht="15" customHeight="1" s="195">
      <c r="A190" s="237" t="n">
        <v>278451930</v>
      </c>
      <c r="B190" s="237" t="n">
        <v>40924503</v>
      </c>
      <c r="C190" s="237" t="inlineStr">
        <is>
          <t>Caucasian</t>
        </is>
      </c>
      <c r="D190" s="237" t="inlineStr">
        <is>
          <t>Female</t>
        </is>
      </c>
      <c r="E190" s="237" t="inlineStr">
        <is>
          <t>[60-70)</t>
        </is>
      </c>
      <c r="F190" s="237" t="n">
        <v>2</v>
      </c>
      <c r="G190" s="237" t="inlineStr">
        <is>
          <t>?</t>
        </is>
      </c>
      <c r="H190" s="237" t="n">
        <v>57</v>
      </c>
      <c r="I190" s="237" t="n">
        <v>0</v>
      </c>
      <c r="J190" s="237" t="n">
        <v>16</v>
      </c>
      <c r="K190" s="237" t="n">
        <v>0</v>
      </c>
      <c r="L190" s="237" t="n">
        <v>0</v>
      </c>
      <c r="M190" s="237" t="n">
        <v>0</v>
      </c>
      <c r="N190" s="237" t="n">
        <v>6</v>
      </c>
      <c r="O190" s="237" t="inlineStr">
        <is>
          <t>Ch</t>
        </is>
      </c>
      <c r="P190" s="237" t="inlineStr">
        <is>
          <t>Yes</t>
        </is>
      </c>
      <c r="Q190" s="252" t="n">
        <v>1</v>
      </c>
    </row>
    <row r="191" ht="15" customHeight="1" s="195">
      <c r="A191" s="235" t="n">
        <v>354850544</v>
      </c>
      <c r="B191" s="235" t="n">
        <v>28227429</v>
      </c>
      <c r="C191" s="235" t="inlineStr">
        <is>
          <t>Caucasian</t>
        </is>
      </c>
      <c r="D191" s="235" t="inlineStr">
        <is>
          <t>Male</t>
        </is>
      </c>
      <c r="E191" s="235" t="inlineStr">
        <is>
          <t>[60-70)</t>
        </is>
      </c>
      <c r="F191" s="235" t="n">
        <v>4</v>
      </c>
      <c r="G191" s="235" t="inlineStr">
        <is>
          <t>Emergency/Trauma</t>
        </is>
      </c>
      <c r="H191" s="235" t="n">
        <v>47</v>
      </c>
      <c r="I191" s="235" t="n">
        <v>6</v>
      </c>
      <c r="J191" s="235" t="n">
        <v>15</v>
      </c>
      <c r="K191" s="235" t="n">
        <v>0</v>
      </c>
      <c r="L191" s="235" t="n">
        <v>0</v>
      </c>
      <c r="M191" s="235" t="n">
        <v>0</v>
      </c>
      <c r="N191" s="235" t="n">
        <v>9</v>
      </c>
      <c r="O191" s="235" t="inlineStr">
        <is>
          <t>Ch</t>
        </is>
      </c>
      <c r="P191" s="235" t="inlineStr">
        <is>
          <t>Yes</t>
        </is>
      </c>
      <c r="Q191" s="253" t="n">
        <v>0</v>
      </c>
    </row>
    <row r="192" ht="15" customHeight="1" s="195">
      <c r="A192" s="237" t="n">
        <v>273003630</v>
      </c>
      <c r="B192" s="237" t="n">
        <v>84385395</v>
      </c>
      <c r="C192" s="237" t="inlineStr">
        <is>
          <t>AfricanAmerican</t>
        </is>
      </c>
      <c r="D192" s="237" t="inlineStr">
        <is>
          <t>Female</t>
        </is>
      </c>
      <c r="E192" s="237" t="inlineStr">
        <is>
          <t>[40-50)</t>
        </is>
      </c>
      <c r="F192" s="237" t="n">
        <v>3</v>
      </c>
      <c r="G192" s="237" t="inlineStr">
        <is>
          <t>?</t>
        </is>
      </c>
      <c r="H192" s="237" t="n">
        <v>36</v>
      </c>
      <c r="I192" s="237" t="n">
        <v>2</v>
      </c>
      <c r="J192" s="237" t="n">
        <v>17</v>
      </c>
      <c r="K192" s="237" t="n">
        <v>0</v>
      </c>
      <c r="L192" s="237" t="n">
        <v>0</v>
      </c>
      <c r="M192" s="237" t="n">
        <v>0</v>
      </c>
      <c r="N192" s="237" t="n">
        <v>9</v>
      </c>
      <c r="O192" s="237" t="inlineStr">
        <is>
          <t>Ch</t>
        </is>
      </c>
      <c r="P192" s="237" t="inlineStr">
        <is>
          <t>Yes</t>
        </is>
      </c>
      <c r="Q192" s="252" t="n">
        <v>1</v>
      </c>
    </row>
    <row r="193" ht="15" customHeight="1" s="195">
      <c r="A193" s="235" t="n">
        <v>374367224</v>
      </c>
      <c r="B193" s="235" t="n">
        <v>33311997</v>
      </c>
      <c r="C193" s="235" t="inlineStr">
        <is>
          <t>Caucasian</t>
        </is>
      </c>
      <c r="D193" s="235" t="inlineStr">
        <is>
          <t>Male</t>
        </is>
      </c>
      <c r="E193" s="235" t="inlineStr">
        <is>
          <t>[80-90)</t>
        </is>
      </c>
      <c r="F193" s="235" t="n">
        <v>5</v>
      </c>
      <c r="G193" s="235" t="inlineStr">
        <is>
          <t>InternalMedicine</t>
        </is>
      </c>
      <c r="H193" s="235" t="n">
        <v>57</v>
      </c>
      <c r="I193" s="235" t="n">
        <v>1</v>
      </c>
      <c r="J193" s="235" t="n">
        <v>21</v>
      </c>
      <c r="K193" s="235" t="n">
        <v>0</v>
      </c>
      <c r="L193" s="235" t="n">
        <v>0</v>
      </c>
      <c r="M193" s="235" t="n">
        <v>0</v>
      </c>
      <c r="N193" s="235" t="n">
        <v>9</v>
      </c>
      <c r="O193" s="235" t="inlineStr">
        <is>
          <t>Ch</t>
        </is>
      </c>
      <c r="P193" s="235" t="inlineStr">
        <is>
          <t>Yes</t>
        </is>
      </c>
      <c r="Q193" s="253" t="n">
        <v>0</v>
      </c>
    </row>
    <row r="194" ht="15" customHeight="1" s="195">
      <c r="A194" s="237" t="n">
        <v>101244024</v>
      </c>
      <c r="B194" s="237" t="n">
        <v>18308016</v>
      </c>
      <c r="C194" s="237" t="inlineStr">
        <is>
          <t>Caucasian</t>
        </is>
      </c>
      <c r="D194" s="237" t="inlineStr">
        <is>
          <t>Male</t>
        </is>
      </c>
      <c r="E194" s="237" t="inlineStr">
        <is>
          <t>[70-80)</t>
        </is>
      </c>
      <c r="F194" s="237" t="n">
        <v>5</v>
      </c>
      <c r="G194" s="237" t="inlineStr">
        <is>
          <t>InternalMedicine</t>
        </is>
      </c>
      <c r="H194" s="237" t="n">
        <v>47</v>
      </c>
      <c r="I194" s="237" t="n">
        <v>3</v>
      </c>
      <c r="J194" s="237" t="n">
        <v>11</v>
      </c>
      <c r="K194" s="237" t="n">
        <v>0</v>
      </c>
      <c r="L194" s="237" t="n">
        <v>0</v>
      </c>
      <c r="M194" s="237" t="n">
        <v>0</v>
      </c>
      <c r="N194" s="237" t="n">
        <v>5</v>
      </c>
      <c r="O194" s="237" t="inlineStr">
        <is>
          <t>No</t>
        </is>
      </c>
      <c r="P194" s="237" t="inlineStr">
        <is>
          <t>No</t>
        </is>
      </c>
      <c r="Q194" s="253" t="n">
        <v>0</v>
      </c>
    </row>
    <row r="195" ht="15" customHeight="1" s="195">
      <c r="A195" s="235" t="n">
        <v>83941194</v>
      </c>
      <c r="B195" s="235" t="n">
        <v>326520</v>
      </c>
      <c r="C195" s="235" t="inlineStr">
        <is>
          <t>AfricanAmerican</t>
        </is>
      </c>
      <c r="D195" s="235" t="inlineStr">
        <is>
          <t>Male</t>
        </is>
      </c>
      <c r="E195" s="235" t="inlineStr">
        <is>
          <t>[60-70)</t>
        </is>
      </c>
      <c r="F195" s="235" t="n">
        <v>3</v>
      </c>
      <c r="G195" s="235" t="inlineStr">
        <is>
          <t>Nephrology</t>
        </is>
      </c>
      <c r="H195" s="235" t="n">
        <v>45</v>
      </c>
      <c r="I195" s="235" t="n">
        <v>2</v>
      </c>
      <c r="J195" s="235" t="n">
        <v>17</v>
      </c>
      <c r="K195" s="235" t="n">
        <v>0</v>
      </c>
      <c r="L195" s="235" t="n">
        <v>0</v>
      </c>
      <c r="M195" s="235" t="n">
        <v>2</v>
      </c>
      <c r="N195" s="235" t="n">
        <v>8</v>
      </c>
      <c r="O195" s="235" t="inlineStr">
        <is>
          <t>No</t>
        </is>
      </c>
      <c r="P195" s="235" t="inlineStr">
        <is>
          <t>No</t>
        </is>
      </c>
      <c r="Q195" s="253" t="n">
        <v>0</v>
      </c>
    </row>
    <row r="196" ht="15" customHeight="1" s="195">
      <c r="A196" s="237" t="n">
        <v>19786188</v>
      </c>
      <c r="B196" s="237" t="n">
        <v>3802914</v>
      </c>
      <c r="C196" s="237" t="inlineStr">
        <is>
          <t>Caucasian</t>
        </is>
      </c>
      <c r="D196" s="237" t="inlineStr">
        <is>
          <t>Female</t>
        </is>
      </c>
      <c r="E196" s="237" t="inlineStr">
        <is>
          <t>[80-90)</t>
        </is>
      </c>
      <c r="F196" s="237" t="n">
        <v>11</v>
      </c>
      <c r="G196" s="237" t="inlineStr">
        <is>
          <t>Cardiology</t>
        </is>
      </c>
      <c r="H196" s="237" t="n">
        <v>73</v>
      </c>
      <c r="I196" s="237" t="n">
        <v>0</v>
      </c>
      <c r="J196" s="237" t="n">
        <v>18</v>
      </c>
      <c r="K196" s="237" t="n">
        <v>0</v>
      </c>
      <c r="L196" s="237" t="n">
        <v>0</v>
      </c>
      <c r="M196" s="237" t="n">
        <v>0</v>
      </c>
      <c r="N196" s="237" t="n">
        <v>7</v>
      </c>
      <c r="O196" s="237" t="inlineStr">
        <is>
          <t>Ch</t>
        </is>
      </c>
      <c r="P196" s="237" t="inlineStr">
        <is>
          <t>Yes</t>
        </is>
      </c>
      <c r="Q196" s="252" t="n">
        <v>1</v>
      </c>
    </row>
    <row r="197" ht="15" customHeight="1" s="195">
      <c r="A197" s="235" t="n">
        <v>179979456</v>
      </c>
      <c r="B197" s="235" t="n">
        <v>84351825</v>
      </c>
      <c r="C197" s="235" t="inlineStr">
        <is>
          <t>Caucasian</t>
        </is>
      </c>
      <c r="D197" s="235" t="inlineStr">
        <is>
          <t>Female</t>
        </is>
      </c>
      <c r="E197" s="235" t="inlineStr">
        <is>
          <t>[30-40)</t>
        </is>
      </c>
      <c r="F197" s="235" t="n">
        <v>1</v>
      </c>
      <c r="G197" s="235" t="inlineStr">
        <is>
          <t>?</t>
        </is>
      </c>
      <c r="H197" s="235" t="n">
        <v>6</v>
      </c>
      <c r="I197" s="235" t="n">
        <v>0</v>
      </c>
      <c r="J197" s="235" t="n">
        <v>2</v>
      </c>
      <c r="K197" s="235" t="n">
        <v>4</v>
      </c>
      <c r="L197" s="235" t="n">
        <v>0</v>
      </c>
      <c r="M197" s="235" t="n">
        <v>2</v>
      </c>
      <c r="N197" s="235" t="n">
        <v>2</v>
      </c>
      <c r="O197" s="235" t="inlineStr">
        <is>
          <t>No</t>
        </is>
      </c>
      <c r="P197" s="235" t="inlineStr">
        <is>
          <t>No</t>
        </is>
      </c>
      <c r="Q197" s="253" t="n">
        <v>0</v>
      </c>
    </row>
    <row r="198" ht="15" customHeight="1" s="195">
      <c r="A198" s="237" t="n">
        <v>110809578</v>
      </c>
      <c r="B198" s="237" t="n">
        <v>10834065</v>
      </c>
      <c r="C198" s="237" t="inlineStr">
        <is>
          <t>?</t>
        </is>
      </c>
      <c r="D198" s="237" t="inlineStr">
        <is>
          <t>Female</t>
        </is>
      </c>
      <c r="E198" s="237" t="inlineStr">
        <is>
          <t>[60-70)</t>
        </is>
      </c>
      <c r="F198" s="237" t="n">
        <v>2</v>
      </c>
      <c r="G198" s="237" t="inlineStr">
        <is>
          <t>InternalMedicine</t>
        </is>
      </c>
      <c r="H198" s="237" t="n">
        <v>45</v>
      </c>
      <c r="I198" s="237" t="n">
        <v>0</v>
      </c>
      <c r="J198" s="237" t="n">
        <v>15</v>
      </c>
      <c r="K198" s="237" t="n">
        <v>0</v>
      </c>
      <c r="L198" s="237" t="n">
        <v>0</v>
      </c>
      <c r="M198" s="237" t="n">
        <v>0</v>
      </c>
      <c r="N198" s="237" t="n">
        <v>5</v>
      </c>
      <c r="O198" s="237" t="inlineStr">
        <is>
          <t>Ch</t>
        </is>
      </c>
      <c r="P198" s="237" t="inlineStr">
        <is>
          <t>Yes</t>
        </is>
      </c>
      <c r="Q198" s="253" t="n">
        <v>0</v>
      </c>
    </row>
    <row r="199" ht="15" customHeight="1" s="195">
      <c r="A199" s="235" t="n">
        <v>372591158</v>
      </c>
      <c r="B199" s="235" t="n">
        <v>86411430</v>
      </c>
      <c r="C199" s="235" t="inlineStr">
        <is>
          <t>Caucasian</t>
        </is>
      </c>
      <c r="D199" s="235" t="inlineStr">
        <is>
          <t>Female</t>
        </is>
      </c>
      <c r="E199" s="235" t="inlineStr">
        <is>
          <t>[80-90)</t>
        </is>
      </c>
      <c r="F199" s="235" t="n">
        <v>6</v>
      </c>
      <c r="G199" s="235" t="inlineStr">
        <is>
          <t>?</t>
        </is>
      </c>
      <c r="H199" s="235" t="n">
        <v>75</v>
      </c>
      <c r="I199" s="235" t="n">
        <v>4</v>
      </c>
      <c r="J199" s="235" t="n">
        <v>28</v>
      </c>
      <c r="K199" s="235" t="n">
        <v>0</v>
      </c>
      <c r="L199" s="235" t="n">
        <v>0</v>
      </c>
      <c r="M199" s="235" t="n">
        <v>3</v>
      </c>
      <c r="N199" s="235" t="n">
        <v>9</v>
      </c>
      <c r="O199" s="235" t="inlineStr">
        <is>
          <t>No</t>
        </is>
      </c>
      <c r="P199" s="235" t="inlineStr">
        <is>
          <t>No</t>
        </is>
      </c>
      <c r="Q199" s="252" t="n">
        <v>1</v>
      </c>
    </row>
    <row r="200" ht="15" customHeight="1" s="195">
      <c r="A200" s="237" t="n">
        <v>42958512</v>
      </c>
      <c r="B200" s="237" t="n">
        <v>89128026</v>
      </c>
      <c r="C200" s="237" t="inlineStr">
        <is>
          <t>Hispanic</t>
        </is>
      </c>
      <c r="D200" s="237" t="inlineStr">
        <is>
          <t>Female</t>
        </is>
      </c>
      <c r="E200" s="237" t="inlineStr">
        <is>
          <t>[70-80)</t>
        </is>
      </c>
      <c r="F200" s="237" t="n">
        <v>2</v>
      </c>
      <c r="G200" s="237" t="inlineStr">
        <is>
          <t>?</t>
        </is>
      </c>
      <c r="H200" s="237" t="n">
        <v>61</v>
      </c>
      <c r="I200" s="237" t="n">
        <v>0</v>
      </c>
      <c r="J200" s="237" t="n">
        <v>9</v>
      </c>
      <c r="K200" s="237" t="n">
        <v>0</v>
      </c>
      <c r="L200" s="237" t="n">
        <v>0</v>
      </c>
      <c r="M200" s="237" t="n">
        <v>0</v>
      </c>
      <c r="N200" s="237" t="n">
        <v>3</v>
      </c>
      <c r="O200" s="237" t="inlineStr">
        <is>
          <t>No</t>
        </is>
      </c>
      <c r="P200" s="237" t="inlineStr">
        <is>
          <t>No</t>
        </is>
      </c>
      <c r="Q200" s="253" t="n">
        <v>0</v>
      </c>
    </row>
    <row r="201" ht="15" customHeight="1" s="195">
      <c r="A201" s="235" t="n">
        <v>25199628</v>
      </c>
      <c r="B201" s="235" t="n">
        <v>3414762</v>
      </c>
      <c r="C201" s="235" t="inlineStr">
        <is>
          <t>Caucasian</t>
        </is>
      </c>
      <c r="D201" s="235" t="inlineStr">
        <is>
          <t>Male</t>
        </is>
      </c>
      <c r="E201" s="235" t="inlineStr">
        <is>
          <t>[70-80)</t>
        </is>
      </c>
      <c r="F201" s="235" t="n">
        <v>7</v>
      </c>
      <c r="G201" s="235" t="inlineStr">
        <is>
          <t>?</t>
        </is>
      </c>
      <c r="H201" s="235" t="n">
        <v>35</v>
      </c>
      <c r="I201" s="235" t="n">
        <v>2</v>
      </c>
      <c r="J201" s="235" t="n">
        <v>17</v>
      </c>
      <c r="K201" s="235" t="n">
        <v>0</v>
      </c>
      <c r="L201" s="235" t="n">
        <v>0</v>
      </c>
      <c r="M201" s="235" t="n">
        <v>0</v>
      </c>
      <c r="N201" s="235" t="n">
        <v>6</v>
      </c>
      <c r="O201" s="235" t="inlineStr">
        <is>
          <t>No</t>
        </is>
      </c>
      <c r="P201" s="235" t="inlineStr">
        <is>
          <t>Yes</t>
        </is>
      </c>
      <c r="Q201" s="252" t="n">
        <v>1</v>
      </c>
    </row>
    <row r="202" ht="15" customHeight="1" s="195">
      <c r="A202" s="237" t="n">
        <v>229982034</v>
      </c>
      <c r="B202" s="237" t="n">
        <v>85992435</v>
      </c>
      <c r="C202" s="237" t="inlineStr">
        <is>
          <t>Caucasian</t>
        </is>
      </c>
      <c r="D202" s="237" t="inlineStr">
        <is>
          <t>Male</t>
        </is>
      </c>
      <c r="E202" s="237" t="inlineStr">
        <is>
          <t>[50-60)</t>
        </is>
      </c>
      <c r="F202" s="237" t="n">
        <v>1</v>
      </c>
      <c r="G202" s="237" t="inlineStr">
        <is>
          <t>?</t>
        </is>
      </c>
      <c r="H202" s="237" t="n">
        <v>39</v>
      </c>
      <c r="I202" s="237" t="n">
        <v>2</v>
      </c>
      <c r="J202" s="237" t="n">
        <v>12</v>
      </c>
      <c r="K202" s="237" t="n">
        <v>0</v>
      </c>
      <c r="L202" s="237" t="n">
        <v>0</v>
      </c>
      <c r="M202" s="237" t="n">
        <v>0</v>
      </c>
      <c r="N202" s="237" t="n">
        <v>9</v>
      </c>
      <c r="O202" s="237" t="inlineStr">
        <is>
          <t>No</t>
        </is>
      </c>
      <c r="P202" s="237" t="inlineStr">
        <is>
          <t>Yes</t>
        </is>
      </c>
      <c r="Q202" s="253" t="n">
        <v>0</v>
      </c>
    </row>
  </sheetData>
  <mergeCells count="1"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9" customWidth="1" style="194" min="1" max="5"/>
    <col width="16" customWidth="1" style="195" min="2" max="2"/>
    <col width="12" customWidth="1" style="195" min="3" max="3"/>
    <col width="16" customWidth="1" style="195" min="4" max="4"/>
    <col width="20" customWidth="1" style="195" min="5" max="5"/>
    <col width="3" customWidth="1" style="194" min="6" max="6"/>
    <col width="50" customWidth="1" style="194" min="7" max="7"/>
  </cols>
  <sheetData>
    <row r="1" ht="27.75" customHeight="1" s="195">
      <c r="A1" s="233" t="inlineStr">
        <is>
          <t>Q1 — Readmission Rates by Age Group</t>
        </is>
      </c>
    </row>
    <row r="2" ht="18" customHeight="1" s="195">
      <c r="A2" s="254" t="inlineStr">
        <is>
          <t>Identify which age groups have the highest risk of readmission within 30 days</t>
        </is>
      </c>
    </row>
    <row r="3" ht="21.75" customHeight="1" s="195">
      <c r="A3" s="255" t="inlineStr">
        <is>
          <t>Age Group</t>
        </is>
      </c>
      <c r="B3" s="255" t="inlineStr">
        <is>
          <t>Total Patients</t>
        </is>
      </c>
      <c r="C3" s="255" t="inlineStr">
        <is>
          <t>Readmitted</t>
        </is>
      </c>
      <c r="D3" s="255" t="inlineStr">
        <is>
          <t>Not Readmitted</t>
        </is>
      </c>
      <c r="E3" s="255" t="inlineStr">
        <is>
          <t>Readmission Rate</t>
        </is>
      </c>
    </row>
    <row r="4" ht="15" customHeight="1" s="195">
      <c r="A4" s="256" t="inlineStr">
        <is>
          <t>[0-10)</t>
        </is>
      </c>
      <c r="B4" s="256" t="n">
        <v>100</v>
      </c>
      <c r="C4" s="256" t="n">
        <v>22</v>
      </c>
      <c r="D4" s="256" t="n">
        <v>78</v>
      </c>
      <c r="E4" s="257" t="n">
        <v>0.22</v>
      </c>
    </row>
    <row r="5" ht="15" customHeight="1" s="195">
      <c r="A5" s="258" t="inlineStr">
        <is>
          <t>[10-20)</t>
        </is>
      </c>
      <c r="B5" s="258" t="n">
        <v>428</v>
      </c>
      <c r="C5" s="258" t="n">
        <v>178</v>
      </c>
      <c r="D5" s="258" t="n">
        <v>250</v>
      </c>
      <c r="E5" s="259" t="n">
        <v>0.41588785046729</v>
      </c>
    </row>
    <row r="6" ht="15" customHeight="1" s="195">
      <c r="A6" s="256" t="inlineStr">
        <is>
          <t>[20-30)</t>
        </is>
      </c>
      <c r="B6" s="256" t="n">
        <v>1154</v>
      </c>
      <c r="C6" s="256" t="n">
        <v>520</v>
      </c>
      <c r="D6" s="256" t="n">
        <v>634</v>
      </c>
      <c r="E6" s="257" t="n">
        <v>0.450606585788562</v>
      </c>
    </row>
    <row r="7" ht="15" customHeight="1" s="195">
      <c r="A7" s="258" t="inlineStr">
        <is>
          <t>[30-40)</t>
        </is>
      </c>
      <c r="B7" s="258" t="n">
        <v>2414</v>
      </c>
      <c r="C7" s="258" t="n">
        <v>1016</v>
      </c>
      <c r="D7" s="258" t="n">
        <v>1398</v>
      </c>
      <c r="E7" s="259" t="n">
        <v>0.420878210439105</v>
      </c>
    </row>
    <row r="8" ht="15" customHeight="1" s="195">
      <c r="A8" s="256" t="inlineStr">
        <is>
          <t>[40-50)</t>
        </is>
      </c>
      <c r="B8" s="256" t="n">
        <v>6324</v>
      </c>
      <c r="C8" s="256" t="n">
        <v>2814</v>
      </c>
      <c r="D8" s="256" t="n">
        <v>3510</v>
      </c>
      <c r="E8" s="257" t="n">
        <v>0.444971537001898</v>
      </c>
    </row>
    <row r="9" ht="15" customHeight="1" s="195">
      <c r="A9" s="258" t="inlineStr">
        <is>
          <t>[50-60)</t>
        </is>
      </c>
      <c r="B9" s="258" t="n">
        <v>11378</v>
      </c>
      <c r="C9" s="258" t="n">
        <v>5129</v>
      </c>
      <c r="D9" s="258" t="n">
        <v>6249</v>
      </c>
      <c r="E9" s="259" t="n">
        <v>0.450782211284936</v>
      </c>
    </row>
    <row r="10" ht="15" customHeight="1" s="195">
      <c r="A10" s="256" t="inlineStr">
        <is>
          <t>[60-70)</t>
        </is>
      </c>
      <c r="B10" s="256" t="n">
        <v>14845</v>
      </c>
      <c r="C10" s="256" t="n">
        <v>6860</v>
      </c>
      <c r="D10" s="256" t="n">
        <v>7985</v>
      </c>
      <c r="E10" s="260" t="n">
        <v>0.462108454024924</v>
      </c>
    </row>
    <row r="11" ht="15" customHeight="1" s="195">
      <c r="A11" s="258" t="inlineStr">
        <is>
          <t>[70-80)</t>
        </is>
      </c>
      <c r="B11" s="258" t="n">
        <v>17031</v>
      </c>
      <c r="C11" s="258" t="n">
        <v>8179</v>
      </c>
      <c r="D11" s="258" t="n">
        <v>8852</v>
      </c>
      <c r="E11" s="261" t="n">
        <v>0.48024191180788</v>
      </c>
    </row>
    <row r="12" ht="15" customHeight="1" s="195">
      <c r="A12" s="256" t="inlineStr">
        <is>
          <t>[80-90)</t>
        </is>
      </c>
      <c r="B12" s="256" t="n">
        <v>11080</v>
      </c>
      <c r="C12" s="256" t="n">
        <v>5349</v>
      </c>
      <c r="D12" s="256" t="n">
        <v>5731</v>
      </c>
      <c r="E12" s="260" t="n">
        <v>0.482761732851986</v>
      </c>
    </row>
    <row r="13" ht="15" customHeight="1" s="195">
      <c r="A13" s="258" t="inlineStr">
        <is>
          <t>[90-100)</t>
        </is>
      </c>
      <c r="B13" s="258" t="n">
        <v>1833</v>
      </c>
      <c r="C13" s="258" t="n">
        <v>697</v>
      </c>
      <c r="D13" s="258" t="n">
        <v>1136</v>
      </c>
      <c r="E13" s="259" t="n">
        <v>0.38025095471904</v>
      </c>
    </row>
    <row r="14" ht="15" customHeight="1" s="195">
      <c r="A14" s="255" t="inlineStr">
        <is>
          <t>TOTAL</t>
        </is>
      </c>
      <c r="B14" s="255" t="n">
        <v>66587</v>
      </c>
      <c r="C14" s="255" t="n">
        <v>30764</v>
      </c>
      <c r="D14" s="255" t="n">
        <v>35823</v>
      </c>
      <c r="E14" s="262" t="n">
        <v>0.4620121044648355</v>
      </c>
    </row>
    <row r="16" ht="42" customHeight="1" s="195">
      <c r="A16" s="263" t="n"/>
    </row>
  </sheetData>
  <mergeCells count="3">
    <mergeCell ref="A2:E2"/>
    <mergeCell ref="A16:E16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1" customWidth="1" style="194" min="1" max="1"/>
    <col width="15" customWidth="1" style="194" min="2" max="4"/>
    <col width="17" customWidth="1" style="195" min="3" max="3"/>
    <col width="19" customWidth="1" style="195" min="4" max="4"/>
    <col width="65" customWidth="1" style="194" min="5" max="5"/>
    <col width="50" customWidth="1" style="194" min="6" max="6"/>
  </cols>
  <sheetData>
    <row r="1" ht="27.75" customHeight="1" s="195">
      <c r="A1" s="233" t="inlineStr">
        <is>
          <t>Q2 — Average Length of Stay by Medical Specialty</t>
        </is>
      </c>
    </row>
    <row r="2" ht="18" customHeight="1" s="195">
      <c r="A2" s="254" t="inlineStr">
        <is>
          <t>Specialties with longest/shortest average stays — minimum 50 patients</t>
        </is>
      </c>
    </row>
    <row r="3" ht="23.25" customHeight="1" s="195">
      <c r="A3" s="255" t="inlineStr">
        <is>
          <t>Medical Specialty</t>
        </is>
      </c>
      <c r="B3" s="255" t="inlineStr">
        <is>
          <t>Patient Count</t>
        </is>
      </c>
      <c r="C3" s="255" t="inlineStr">
        <is>
          <t>Avg Stay (Days)</t>
        </is>
      </c>
      <c r="D3" s="255" t="inlineStr">
        <is>
          <t>Readmission Rate</t>
        </is>
      </c>
      <c r="E3" s="389" t="n"/>
    </row>
    <row r="4" ht="15" customHeight="1" s="195">
      <c r="A4" s="256" t="inlineStr">
        <is>
          <t>PhysicalMedicineandRehabilitation</t>
        </is>
      </c>
      <c r="B4" s="256" t="n">
        <v>257</v>
      </c>
      <c r="C4" s="264" t="n">
        <v>8.890000000000001</v>
      </c>
      <c r="D4" s="265" t="n">
        <v>0.404669260700389</v>
      </c>
    </row>
    <row r="5" ht="15" customHeight="1" s="195">
      <c r="A5" s="258" t="inlineStr">
        <is>
          <t>Psychiatry</t>
        </is>
      </c>
      <c r="B5" s="258" t="n">
        <v>602</v>
      </c>
      <c r="C5" s="266" t="n">
        <v>6.64</v>
      </c>
      <c r="D5" s="267" t="n">
        <v>0.400332225913621</v>
      </c>
    </row>
    <row r="6" ht="15" customHeight="1" s="195">
      <c r="A6" s="256" t="inlineStr">
        <is>
          <t>Psychology</t>
        </is>
      </c>
      <c r="B6" s="256" t="n">
        <v>64</v>
      </c>
      <c r="C6" s="264" t="n">
        <v>6.58</v>
      </c>
      <c r="D6" s="265" t="n">
        <v>0.40625</v>
      </c>
    </row>
    <row r="7" ht="15" customHeight="1" s="195">
      <c r="A7" s="258" t="inlineStr">
        <is>
          <t>Surgery-Cardiovascular/Thoracic</t>
        </is>
      </c>
      <c r="B7" s="258" t="n">
        <v>421</v>
      </c>
      <c r="C7" s="268" t="n">
        <v>6.08</v>
      </c>
      <c r="D7" s="267" t="n">
        <v>0.2541567695962</v>
      </c>
    </row>
    <row r="8" ht="15" customHeight="1" s="195">
      <c r="A8" s="256" t="inlineStr">
        <is>
          <t>Surgery-Thoracic</t>
        </is>
      </c>
      <c r="B8" s="256" t="n">
        <v>75</v>
      </c>
      <c r="C8" s="269" t="n">
        <v>5.96</v>
      </c>
      <c r="D8" s="265" t="n">
        <v>0.386666666666667</v>
      </c>
    </row>
    <row r="9" ht="15" customHeight="1" s="195">
      <c r="A9" s="258" t="inlineStr">
        <is>
          <t>Pulmonology</t>
        </is>
      </c>
      <c r="B9" s="258" t="n">
        <v>564</v>
      </c>
      <c r="C9" s="270" t="n">
        <v>5.17</v>
      </c>
      <c r="D9" s="267" t="n">
        <v>0.48758865248227</v>
      </c>
    </row>
    <row r="10" ht="15" customHeight="1" s="195">
      <c r="A10" s="256" t="inlineStr">
        <is>
          <t>Oncology</t>
        </is>
      </c>
      <c r="B10" s="256" t="n">
        <v>229</v>
      </c>
      <c r="C10" s="269" t="n">
        <v>5.12</v>
      </c>
      <c r="D10" s="265" t="n">
        <v>0.506550218340611</v>
      </c>
    </row>
    <row r="11" ht="15" customHeight="1" s="195">
      <c r="A11" s="258" t="inlineStr">
        <is>
          <t>Surgery-Cardiovascular</t>
        </is>
      </c>
      <c r="B11" s="258" t="n">
        <v>62</v>
      </c>
      <c r="C11" s="270" t="n">
        <v>5.05</v>
      </c>
      <c r="D11" s="267" t="n">
        <v>0.419354838709677</v>
      </c>
    </row>
    <row r="12" ht="15" customHeight="1" s="195">
      <c r="A12" s="256" t="inlineStr">
        <is>
          <t>Nephrology</t>
        </is>
      </c>
      <c r="B12" s="256" t="n">
        <v>1098</v>
      </c>
      <c r="C12" s="269" t="n">
        <v>4.79</v>
      </c>
      <c r="D12" s="265" t="n">
        <v>0.551001821493625</v>
      </c>
    </row>
    <row r="13" ht="15" customHeight="1" s="195">
      <c r="A13" s="258" t="inlineStr">
        <is>
          <t>Gastroenterology</t>
        </is>
      </c>
      <c r="B13" s="258" t="n">
        <v>330</v>
      </c>
      <c r="C13" s="270" t="n">
        <v>4.58</v>
      </c>
      <c r="D13" s="267" t="n">
        <v>0.451515151515152</v>
      </c>
    </row>
    <row r="14" ht="15" customHeight="1" s="195">
      <c r="A14" s="256" t="inlineStr">
        <is>
          <t>InternalMedicine</t>
        </is>
      </c>
      <c r="B14" s="256" t="n">
        <v>9460</v>
      </c>
      <c r="C14" s="269" t="n">
        <v>4.57</v>
      </c>
      <c r="D14" s="265" t="n">
        <v>0.442177589852008</v>
      </c>
    </row>
    <row r="15" ht="15" customHeight="1" s="195">
      <c r="A15" s="258" t="inlineStr">
        <is>
          <t>Endocrinology</t>
        </is>
      </c>
      <c r="B15" s="258" t="n">
        <v>81</v>
      </c>
      <c r="C15" s="270" t="n">
        <v>4.53</v>
      </c>
      <c r="D15" s="267" t="n">
        <v>0.45679012345679</v>
      </c>
    </row>
    <row r="16" ht="15" customHeight="1" s="195">
      <c r="A16" s="256" t="inlineStr">
        <is>
          <t>Surgery-General</t>
        </is>
      </c>
      <c r="B16" s="256" t="n">
        <v>2067</v>
      </c>
      <c r="C16" s="269" t="n">
        <v>4.52</v>
      </c>
      <c r="D16" s="265" t="n">
        <v>0.434446057087567</v>
      </c>
    </row>
    <row r="17" ht="15" customHeight="1" s="195">
      <c r="A17" s="258" t="inlineStr">
        <is>
          <t>Family/GeneralPractice</t>
        </is>
      </c>
      <c r="B17" s="258" t="n">
        <v>4924</v>
      </c>
      <c r="C17" s="270" t="n">
        <v>4.44</v>
      </c>
      <c r="D17" s="267" t="n">
        <v>0.479894394800975</v>
      </c>
    </row>
    <row r="18" ht="15" customHeight="1" s="195">
      <c r="A18" s="256" t="inlineStr">
        <is>
          <t>Emergency/Trauma</t>
        </is>
      </c>
      <c r="B18" s="256" t="n">
        <v>4986</v>
      </c>
      <c r="C18" s="269" t="n">
        <v>4.32</v>
      </c>
      <c r="D18" s="265" t="n">
        <v>0.502005615724027</v>
      </c>
    </row>
    <row r="19" ht="15" customHeight="1" s="195">
      <c r="A19" s="390" t="inlineStr">
        <is>
          <t>Hematology</t>
        </is>
      </c>
      <c r="B19" s="390" t="n">
        <v>57</v>
      </c>
      <c r="C19" s="391" t="n">
        <v>4.26</v>
      </c>
      <c r="D19" s="392" t="n">
        <v>0.666666666666667</v>
      </c>
      <c r="E19" s="393" t="inlineStr">
        <is>
          <t>⚠ Small sample (n=57) — rate unreliable, interpret with caution</t>
        </is>
      </c>
    </row>
    <row r="20" ht="15" customHeight="1" s="195">
      <c r="A20" s="256" t="inlineStr">
        <is>
          <t>Podiatry</t>
        </is>
      </c>
      <c r="B20" s="256" t="n">
        <v>64</v>
      </c>
      <c r="C20" s="269" t="n">
        <v>4.17</v>
      </c>
      <c r="D20" s="265" t="n">
        <v>0.546875</v>
      </c>
    </row>
    <row r="21" ht="15" customHeight="1" s="195">
      <c r="A21" s="258" t="inlineStr">
        <is>
          <t>Surgery-Vascular</t>
        </is>
      </c>
      <c r="B21" s="258" t="n">
        <v>359</v>
      </c>
      <c r="C21" s="270" t="n">
        <v>4.16</v>
      </c>
      <c r="D21" s="267" t="n">
        <v>0.5571030640668519</v>
      </c>
    </row>
    <row r="22" ht="15" customHeight="1" s="195">
      <c r="A22" s="256" t="inlineStr">
        <is>
          <t>Hematology/Oncology</t>
        </is>
      </c>
      <c r="B22" s="256" t="n">
        <v>141</v>
      </c>
      <c r="C22" s="269" t="n">
        <v>4.13</v>
      </c>
      <c r="D22" s="265" t="n">
        <v>0.425531914893617</v>
      </c>
    </row>
    <row r="23" ht="15" customHeight="1" s="195">
      <c r="A23" s="258" t="inlineStr">
        <is>
          <t>Orthopedics</t>
        </is>
      </c>
      <c r="B23" s="258" t="n">
        <v>912</v>
      </c>
      <c r="C23" s="270" t="n">
        <v>3.97</v>
      </c>
      <c r="D23" s="267" t="n">
        <v>0.334429824561404</v>
      </c>
    </row>
    <row r="24" ht="15" customHeight="1" s="195">
      <c r="A24" s="256" t="inlineStr">
        <is>
          <t>Orthopedics-Reconstructive</t>
        </is>
      </c>
      <c r="B24" s="256" t="n">
        <v>812</v>
      </c>
      <c r="C24" s="269" t="n">
        <v>3.95</v>
      </c>
      <c r="D24" s="265" t="n">
        <v>0.301724137931035</v>
      </c>
    </row>
    <row r="25" ht="15" customHeight="1" s="195">
      <c r="A25" s="258" t="inlineStr">
        <is>
          <t>Surgery-Neuro</t>
        </is>
      </c>
      <c r="B25" s="258" t="n">
        <v>310</v>
      </c>
      <c r="C25" s="270" t="n">
        <v>3.63</v>
      </c>
      <c r="D25" s="267" t="n">
        <v>0.238709677419355</v>
      </c>
    </row>
    <row r="26" ht="15" customHeight="1" s="195">
      <c r="A26" s="256" t="inlineStr">
        <is>
          <t>Cardiology</t>
        </is>
      </c>
      <c r="B26" s="256" t="n">
        <v>3434</v>
      </c>
      <c r="C26" s="269" t="n">
        <v>3.6</v>
      </c>
      <c r="D26" s="265" t="n">
        <v>0.433605125218404</v>
      </c>
    </row>
    <row r="27" ht="15" customHeight="1" s="195">
      <c r="A27" s="258" t="inlineStr">
        <is>
          <t>Radiologist</t>
        </is>
      </c>
      <c r="B27" s="258" t="n">
        <v>767</v>
      </c>
      <c r="C27" s="270" t="n">
        <v>3.49</v>
      </c>
      <c r="D27" s="267" t="n">
        <v>0.441981747066493</v>
      </c>
    </row>
    <row r="28" ht="15" customHeight="1" s="195">
      <c r="A28" s="256" t="inlineStr">
        <is>
          <t>Pediatrics</t>
        </is>
      </c>
      <c r="B28" s="256" t="n">
        <v>160</v>
      </c>
      <c r="C28" s="269" t="n">
        <v>3.46</v>
      </c>
      <c r="D28" s="265" t="n">
        <v>0.43125</v>
      </c>
    </row>
    <row r="29" ht="15" customHeight="1" s="195">
      <c r="A29" s="258" t="inlineStr">
        <is>
          <t>Neurology</t>
        </is>
      </c>
      <c r="B29" s="258" t="n">
        <v>130</v>
      </c>
      <c r="C29" s="270" t="n">
        <v>3.38</v>
      </c>
      <c r="D29" s="267" t="n">
        <v>0.269230769230769</v>
      </c>
    </row>
    <row r="30" ht="15" customHeight="1" s="195">
      <c r="A30" s="256" t="inlineStr">
        <is>
          <t>Urology</t>
        </is>
      </c>
      <c r="B30" s="256" t="n">
        <v>468</v>
      </c>
      <c r="C30" s="269" t="n">
        <v>3.3</v>
      </c>
      <c r="D30" s="265" t="n">
        <v>0.41025641025641</v>
      </c>
    </row>
    <row r="31" ht="15" customHeight="1" s="195">
      <c r="A31" s="258" t="inlineStr">
        <is>
          <t>ObstetricsandGynecology</t>
        </is>
      </c>
      <c r="B31" s="258" t="n">
        <v>421</v>
      </c>
      <c r="C31" s="270" t="n">
        <v>3.14</v>
      </c>
      <c r="D31" s="267" t="n">
        <v>0.239904988123515</v>
      </c>
    </row>
    <row r="32" ht="15" customHeight="1" s="195">
      <c r="A32" s="256" t="inlineStr">
        <is>
          <t>Otolaryngology</t>
        </is>
      </c>
      <c r="B32" s="256" t="n">
        <v>76</v>
      </c>
      <c r="C32" s="269" t="n">
        <v>2.86</v>
      </c>
      <c r="D32" s="265" t="n">
        <v>0.236842105263158</v>
      </c>
    </row>
    <row r="33" ht="15" customHeight="1" s="195">
      <c r="A33" s="258" t="inlineStr">
        <is>
          <t>Pediatrics-CriticalCare</t>
        </is>
      </c>
      <c r="B33" s="258" t="n">
        <v>63</v>
      </c>
      <c r="C33" s="270" t="n">
        <v>2.84</v>
      </c>
      <c r="D33" s="267" t="n">
        <v>0.380952380952381</v>
      </c>
    </row>
    <row r="34" ht="15" customHeight="1" s="195">
      <c r="A34" s="256" t="inlineStr">
        <is>
          <t>Pediatrics-Endocrinology</t>
        </is>
      </c>
      <c r="B34" s="256" t="n">
        <v>86</v>
      </c>
      <c r="C34" s="269" t="n">
        <v>2.74</v>
      </c>
      <c r="D34" s="265" t="n">
        <v>0.209302325581395</v>
      </c>
    </row>
    <row r="36" ht="42" customHeight="1" s="195">
      <c r="A36" s="263" t="n"/>
    </row>
  </sheetData>
  <mergeCells count="3">
    <mergeCell ref="A1:D1"/>
    <mergeCell ref="A36:D36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94" min="1" max="1"/>
    <col width="15" customWidth="1" style="194" min="2" max="4"/>
    <col width="19" customWidth="1" style="195" min="3" max="3"/>
    <col width="19" customWidth="1" style="195" min="4" max="4"/>
    <col width="3" customWidth="1" style="194" min="5" max="5"/>
    <col width="50" customWidth="1" style="194" min="6" max="6"/>
  </cols>
  <sheetData>
    <row r="1" ht="27.75" customHeight="1" s="195">
      <c r="A1" s="233" t="inlineStr">
        <is>
          <t>Q3 — Emergency Visits vs Readmission Rates</t>
        </is>
      </c>
    </row>
    <row r="2" ht="18" customHeight="1" s="195">
      <c r="A2" s="254" t="inlineStr">
        <is>
          <t>Correlation between prior-year emergency visits and 30-day readmission probability</t>
        </is>
      </c>
    </row>
    <row r="3" ht="15" customHeight="1" s="195">
      <c r="A3" s="271" t="inlineStr">
        <is>
          <t>Pearson Correlation (Emergency Visits vs Readmitted): 0.1078</t>
        </is>
      </c>
      <c r="B3" s="272" t="n"/>
      <c r="C3" s="272" t="n"/>
      <c r="D3" s="273" t="n"/>
    </row>
    <row r="4" ht="23.25" customHeight="1" s="195">
      <c r="A4" s="255" t="inlineStr">
        <is>
          <t>Prior Emergency Visits</t>
        </is>
      </c>
      <c r="B4" s="255" t="inlineStr">
        <is>
          <t>Patient Count</t>
        </is>
      </c>
      <c r="C4" s="255" t="inlineStr">
        <is>
          <t>Readmission Rate</t>
        </is>
      </c>
      <c r="D4" s="255" t="inlineStr">
        <is>
          <t>Cumulative %</t>
        </is>
      </c>
    </row>
    <row r="5" ht="15" customHeight="1" s="195">
      <c r="A5" s="258" t="n">
        <v>0</v>
      </c>
      <c r="B5" s="258" t="n">
        <v>59087</v>
      </c>
      <c r="C5" s="259" t="n">
        <v>0.440418366138068</v>
      </c>
      <c r="D5" s="267" t="n">
        <v>0.888499593997173</v>
      </c>
    </row>
    <row r="6" ht="15" customHeight="1" s="195">
      <c r="A6" s="256" t="n">
        <v>1</v>
      </c>
      <c r="B6" s="256" t="n">
        <v>5117</v>
      </c>
      <c r="C6" s="260" t="n">
        <v>0.587062732069572</v>
      </c>
      <c r="D6" s="265" t="n">
        <v>0.965444648281255</v>
      </c>
    </row>
    <row r="7" ht="15" customHeight="1" s="195">
      <c r="A7" s="258" t="n">
        <v>2</v>
      </c>
      <c r="B7" s="258" t="n">
        <v>1252</v>
      </c>
      <c r="C7" s="261" t="n">
        <v>0.675718849840256</v>
      </c>
      <c r="D7" s="267" t="n">
        <v>0.984271149739857</v>
      </c>
    </row>
    <row r="8" ht="15" customHeight="1" s="195">
      <c r="A8" s="256" t="n">
        <v>3</v>
      </c>
      <c r="B8" s="256" t="n">
        <v>472</v>
      </c>
      <c r="C8" s="260" t="n">
        <v>0.711864406779661</v>
      </c>
      <c r="D8" s="265" t="n">
        <v>0.991368680641184</v>
      </c>
    </row>
    <row r="9" ht="15" customHeight="1" s="195">
      <c r="A9" s="258" t="n">
        <v>4</v>
      </c>
      <c r="B9" s="258" t="n">
        <v>264</v>
      </c>
      <c r="C9" s="261" t="n">
        <v>0.791666666666667</v>
      </c>
      <c r="D9" s="267" t="n">
        <v>0.99533848606057</v>
      </c>
    </row>
    <row r="10" ht="15" customHeight="1" s="195">
      <c r="A10" s="256" t="n">
        <v>5</v>
      </c>
      <c r="B10" s="256" t="n">
        <v>122</v>
      </c>
      <c r="C10" s="260" t="n">
        <v>0.844262295081967</v>
      </c>
      <c r="D10" s="265" t="n">
        <v>0.997173017352862</v>
      </c>
    </row>
    <row r="11" ht="15" customHeight="1" s="195">
      <c r="A11" s="258" t="n">
        <v>6</v>
      </c>
      <c r="B11" s="258" t="n">
        <v>87</v>
      </c>
      <c r="C11" s="261" t="n">
        <v>0.839080459770115</v>
      </c>
      <c r="D11" s="267" t="n">
        <v>0.99848124868425</v>
      </c>
    </row>
    <row r="12" ht="15" customHeight="1" s="195">
      <c r="A12" s="256" t="n">
        <v>7</v>
      </c>
      <c r="B12" s="256" t="n">
        <v>44</v>
      </c>
      <c r="C12" s="260" t="n">
        <v>0.9090909090909089</v>
      </c>
      <c r="D12" s="265" t="n">
        <v>0.999142882920814</v>
      </c>
    </row>
    <row r="13" ht="15" customHeight="1" s="195">
      <c r="A13" s="258" t="n">
        <v>8</v>
      </c>
      <c r="B13" s="258" t="n">
        <v>34</v>
      </c>
      <c r="C13" s="261" t="n">
        <v>0.9411764705882349</v>
      </c>
      <c r="D13" s="267" t="n">
        <v>0.999654145739978</v>
      </c>
    </row>
    <row r="14" ht="15" customHeight="1" s="195">
      <c r="A14" s="256" t="n">
        <v>9</v>
      </c>
      <c r="B14" s="256" t="n">
        <v>23</v>
      </c>
      <c r="C14" s="260" t="n">
        <v>0.956521739130435</v>
      </c>
      <c r="D14" s="265" t="n">
        <v>1</v>
      </c>
    </row>
    <row r="16" ht="42" customHeight="1" s="195">
      <c r="A16" s="263" t="n"/>
    </row>
  </sheetData>
  <mergeCells count="4">
    <mergeCell ref="A1:D1"/>
    <mergeCell ref="A2:D2"/>
    <mergeCell ref="A3:D3"/>
    <mergeCell ref="A16:D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94" min="1" max="1"/>
    <col width="16" customWidth="1" style="194" min="2" max="5"/>
    <col width="12" customWidth="1" style="195" min="3" max="3"/>
    <col width="16" customWidth="1" style="195" min="4" max="4"/>
    <col width="21" customWidth="1" style="195" min="5" max="5"/>
  </cols>
  <sheetData>
    <row r="1" ht="27.75" customHeight="1" s="195">
      <c r="A1" s="233" t="inlineStr">
        <is>
          <t>Q4 — Diabetic Patient Readmission Proportion</t>
        </is>
      </c>
    </row>
    <row r="2" ht="18" customHeight="1" s="195">
      <c r="A2" s="254" t="inlineStr">
        <is>
          <t>Comparing readmission rates between patients prescribed vs not prescribed diabetic medication</t>
        </is>
      </c>
    </row>
    <row r="3" ht="23.25" customHeight="1" s="195">
      <c r="A3" s="255" t="inlineStr">
        <is>
          <t>Diabetes Medication</t>
        </is>
      </c>
      <c r="B3" s="255" t="inlineStr">
        <is>
          <t>Total Patients</t>
        </is>
      </c>
      <c r="C3" s="255" t="inlineStr">
        <is>
          <t>Readmitted</t>
        </is>
      </c>
      <c r="D3" s="255" t="inlineStr">
        <is>
          <t>Not Readmitted</t>
        </is>
      </c>
      <c r="E3" s="255" t="inlineStr">
        <is>
          <t>Readmission Rate</t>
        </is>
      </c>
    </row>
    <row r="4" ht="15" customHeight="1" s="195">
      <c r="A4" s="256" t="inlineStr">
        <is>
          <t>No Diabetic Med</t>
        </is>
      </c>
      <c r="B4" s="256" t="n">
        <v>15382</v>
      </c>
      <c r="C4" s="256" t="n">
        <v>6205</v>
      </c>
      <c r="D4" s="256" t="n">
        <v>9177</v>
      </c>
      <c r="E4" s="274" t="n">
        <v>0.403393576908074</v>
      </c>
    </row>
    <row r="5" ht="15" customHeight="1" s="195">
      <c r="A5" s="258" t="inlineStr">
        <is>
          <t>On Diabetic Med</t>
        </is>
      </c>
      <c r="B5" s="258" t="n">
        <v>51205</v>
      </c>
      <c r="C5" s="258" t="n">
        <v>24559</v>
      </c>
      <c r="D5" s="258" t="n">
        <v>26646</v>
      </c>
      <c r="E5" s="261" t="n">
        <v>0.47962113074895</v>
      </c>
    </row>
    <row r="6" ht="23.25" customHeight="1" s="195">
      <c r="A6" s="275" t="inlineStr">
        <is>
          <t>Difference (On Med vs No Med)</t>
        </is>
      </c>
      <c r="B6" s="276" t="n"/>
      <c r="C6" s="276" t="n"/>
      <c r="D6" s="276" t="n"/>
      <c r="E6" s="277" t="n">
        <v>0.07622755384087604</v>
      </c>
    </row>
    <row r="8" ht="42" customHeight="1" s="195">
      <c r="A8" s="263" t="n"/>
    </row>
  </sheetData>
  <mergeCells count="3">
    <mergeCell ref="A1:D1"/>
    <mergeCell ref="A2:D2"/>
    <mergeCell ref="A8:E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4" customWidth="1" style="194" min="1" max="1"/>
    <col width="16" customWidth="1" style="194" min="2" max="5"/>
    <col width="12" customWidth="1" style="195" min="3" max="3"/>
    <col width="16" customWidth="1" style="195" min="4" max="4"/>
    <col width="19" customWidth="1" style="195" min="5" max="5"/>
  </cols>
  <sheetData>
    <row r="1" ht="27.75" customHeight="1" s="195">
      <c r="A1" s="233" t="inlineStr">
        <is>
          <t>Q5 — Medication Change vs Readmission Rates</t>
        </is>
      </c>
    </row>
    <row r="2" ht="18" customHeight="1" s="195">
      <c r="A2" s="254" t="inlineStr">
        <is>
          <t>Impact of changes in diabetic medication on 30-day hospital readmissions</t>
        </is>
      </c>
    </row>
    <row r="3" ht="23.25" customHeight="1" s="195">
      <c r="A3" s="255" t="inlineStr">
        <is>
          <t>Medication Status</t>
        </is>
      </c>
      <c r="B3" s="255" t="inlineStr">
        <is>
          <t>Total Patients</t>
        </is>
      </c>
      <c r="C3" s="255" t="inlineStr">
        <is>
          <t>Readmitted</t>
        </is>
      </c>
      <c r="D3" s="255" t="inlineStr">
        <is>
          <t>Not Readmitted</t>
        </is>
      </c>
      <c r="E3" s="255" t="inlineStr">
        <is>
          <t>Readmission Rate</t>
        </is>
      </c>
    </row>
    <row r="4" ht="15" customHeight="1" s="195">
      <c r="A4" s="256" t="inlineStr">
        <is>
          <t>Medication Changed</t>
        </is>
      </c>
      <c r="B4" s="256" t="n">
        <v>30693</v>
      </c>
      <c r="C4" s="256" t="n">
        <v>14923</v>
      </c>
      <c r="D4" s="256" t="n">
        <v>15770</v>
      </c>
      <c r="E4" s="260" t="n">
        <v>0.486202065617568</v>
      </c>
    </row>
    <row r="5" ht="15" customHeight="1" s="195">
      <c r="A5" s="258" t="inlineStr">
        <is>
          <t>No Medication Change</t>
        </is>
      </c>
      <c r="B5" s="258" t="n">
        <v>35894</v>
      </c>
      <c r="C5" s="258" t="n">
        <v>15841</v>
      </c>
      <c r="D5" s="258" t="n">
        <v>20053</v>
      </c>
      <c r="E5" s="259" t="n">
        <v>0.441327241321669</v>
      </c>
    </row>
    <row r="7" ht="42" customHeight="1" s="195">
      <c r="A7" s="263" t="n"/>
    </row>
  </sheetData>
  <mergeCells count="3">
    <mergeCell ref="A1:D1"/>
    <mergeCell ref="A7:E7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94" min="1" max="1"/>
    <col width="15" customWidth="1" style="194" min="2" max="4"/>
    <col width="15" customWidth="1" style="195" min="3" max="3"/>
    <col width="19" customWidth="1" style="195" min="4" max="4"/>
    <col width="3" customWidth="1" style="194" min="5" max="5"/>
    <col width="50" customWidth="1" style="194" min="6" max="6"/>
  </cols>
  <sheetData>
    <row r="1" ht="27.75" customHeight="1" s="195">
      <c r="A1" s="233" t="inlineStr">
        <is>
          <t>Q6 — Lab Procedures vs Readmission Rates</t>
        </is>
      </c>
    </row>
    <row r="2" ht="18" customHeight="1" s="195">
      <c r="A2" s="254" t="inlineStr">
        <is>
          <t>Does the volume of lab tests performed during a stay influence readmission risk?</t>
        </is>
      </c>
    </row>
    <row r="3" ht="15" customHeight="1" s="195">
      <c r="A3" s="271" t="inlineStr">
        <is>
          <t>Pearson Correlation (Lab Procedures vs Readmitted): 0.0357</t>
        </is>
      </c>
      <c r="B3" s="272" t="n"/>
      <c r="C3" s="272" t="n"/>
      <c r="D3" s="273" t="n"/>
    </row>
    <row r="4" ht="23.25" customHeight="1" s="195">
      <c r="A4" s="255" t="inlineStr">
        <is>
          <t>Lab Procedure Range</t>
        </is>
      </c>
      <c r="B4" s="255" t="inlineStr">
        <is>
          <t>Patient Count</t>
        </is>
      </c>
      <c r="C4" s="255" t="inlineStr">
        <is>
          <t>Avg Lab Count</t>
        </is>
      </c>
      <c r="D4" s="255" t="inlineStr">
        <is>
          <t>Readmission Rate</t>
        </is>
      </c>
    </row>
    <row r="5" ht="15" customHeight="1" s="195">
      <c r="A5" s="258" t="inlineStr">
        <is>
          <t>1-20</t>
        </is>
      </c>
      <c r="B5" s="258" t="n">
        <v>9445</v>
      </c>
      <c r="C5" s="258" t="n">
        <v>9.199999999999999</v>
      </c>
      <c r="D5" s="267" t="n">
        <v>0.429539438856538</v>
      </c>
    </row>
    <row r="6" ht="15" customHeight="1" s="195">
      <c r="A6" s="256" t="inlineStr">
        <is>
          <t>21-40</t>
        </is>
      </c>
      <c r="B6" s="256" t="n">
        <v>18261</v>
      </c>
      <c r="C6" s="256" t="n">
        <v>32.6</v>
      </c>
      <c r="D6" s="265" t="n">
        <v>0.446853951043207</v>
      </c>
    </row>
    <row r="7" ht="15" customHeight="1" s="195">
      <c r="A7" s="258" t="inlineStr">
        <is>
          <t>41-60</t>
        </is>
      </c>
      <c r="B7" s="258" t="n">
        <v>26108</v>
      </c>
      <c r="C7" s="258" t="n">
        <v>49.8</v>
      </c>
      <c r="D7" s="267" t="n">
        <v>0.470124099892753</v>
      </c>
    </row>
    <row r="8" ht="15" customHeight="1" s="195">
      <c r="A8" s="256" t="inlineStr">
        <is>
          <t>61-80</t>
        </is>
      </c>
      <c r="B8" s="256" t="n">
        <v>11518</v>
      </c>
      <c r="C8" s="256" t="n">
        <v>67.8</v>
      </c>
      <c r="D8" s="265" t="n">
        <v>0.496700816113909</v>
      </c>
    </row>
    <row r="9" ht="15" customHeight="1" s="195">
      <c r="A9" s="258" t="inlineStr">
        <is>
          <t>81-100</t>
        </is>
      </c>
      <c r="B9" s="258" t="n">
        <v>1213</v>
      </c>
      <c r="C9" s="258" t="n">
        <v>86.09999999999999</v>
      </c>
      <c r="D9" s="267" t="n">
        <v>0.444352844187964</v>
      </c>
    </row>
    <row r="10" ht="15" customHeight="1" s="195">
      <c r="A10" s="256" t="inlineStr">
        <is>
          <t>101+</t>
        </is>
      </c>
      <c r="B10" s="256" t="n">
        <v>42</v>
      </c>
      <c r="C10" s="256" t="n">
        <v>105.8</v>
      </c>
      <c r="D10" s="265" t="n">
        <v>0.30952380952381</v>
      </c>
    </row>
    <row r="12" ht="42" customHeight="1" s="195">
      <c r="A12" s="263" t="n"/>
    </row>
  </sheetData>
  <mergeCells count="4">
    <mergeCell ref="A1:D1"/>
    <mergeCell ref="A12:D12"/>
    <mergeCell ref="A3:D3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1" customWidth="1" style="194" min="1" max="1"/>
    <col width="16" customWidth="1" style="194" min="2" max="4"/>
    <col width="12" customWidth="1" style="195" min="3" max="3"/>
    <col width="19" customWidth="1" style="195" min="4" max="4"/>
    <col width="3" customWidth="1" style="194" min="5" max="5"/>
    <col width="40" customWidth="1" style="194" min="6" max="6"/>
  </cols>
  <sheetData>
    <row r="1" ht="27.75" customHeight="1" s="195">
      <c r="A1" s="233" t="inlineStr">
        <is>
          <t>Q7 — Readmission Rates by Race &amp; Gender</t>
        </is>
      </c>
    </row>
    <row r="2" ht="18" customHeight="1" s="195">
      <c r="A2" s="254" t="inlineStr">
        <is>
          <t>Identifying demographic disparities in readmission outcomes</t>
        </is>
      </c>
    </row>
    <row r="3" ht="15" customHeight="1" s="195">
      <c r="A3" s="278" t="inlineStr">
        <is>
          <t>By Race</t>
        </is>
      </c>
    </row>
    <row r="4" ht="23.25" customHeight="1" s="195">
      <c r="A4" s="255" t="inlineStr">
        <is>
          <t>Race</t>
        </is>
      </c>
      <c r="B4" s="255" t="inlineStr">
        <is>
          <t>Total Patients</t>
        </is>
      </c>
      <c r="C4" s="255" t="inlineStr">
        <is>
          <t>Readmitted</t>
        </is>
      </c>
      <c r="D4" s="255" t="inlineStr">
        <is>
          <t>Readmission Rate</t>
        </is>
      </c>
    </row>
    <row r="5" ht="15" customHeight="1" s="195">
      <c r="A5" s="258" t="inlineStr">
        <is>
          <t>Caucasian</t>
        </is>
      </c>
      <c r="B5" s="258" t="n">
        <v>49906</v>
      </c>
      <c r="C5" s="258" t="n">
        <v>23477</v>
      </c>
      <c r="D5" s="261" t="n">
        <v>0.470424397867992</v>
      </c>
    </row>
    <row r="6" ht="15" customHeight="1" s="195">
      <c r="A6" s="256" t="inlineStr">
        <is>
          <t>AfricanAmerican</t>
        </is>
      </c>
      <c r="B6" s="256" t="n">
        <v>12406</v>
      </c>
      <c r="C6" s="256" t="n">
        <v>5703</v>
      </c>
      <c r="D6" s="257" t="n">
        <v>0.459696920844753</v>
      </c>
    </row>
    <row r="7" ht="15" customHeight="1" s="195">
      <c r="A7" s="258" t="inlineStr">
        <is>
          <t>Hispanic</t>
        </is>
      </c>
      <c r="B7" s="258" t="n">
        <v>1313</v>
      </c>
      <c r="C7" s="258" t="n">
        <v>535</v>
      </c>
      <c r="D7" s="259" t="n">
        <v>0.407463823305408</v>
      </c>
    </row>
    <row r="8" ht="15" customHeight="1" s="195">
      <c r="A8" s="256" t="inlineStr">
        <is>
          <t>Other</t>
        </is>
      </c>
      <c r="B8" s="256" t="n">
        <v>1050</v>
      </c>
      <c r="C8" s="256" t="n">
        <v>422</v>
      </c>
      <c r="D8" s="257" t="n">
        <v>0.401904761904762</v>
      </c>
    </row>
    <row r="9" ht="15" customHeight="1" s="195">
      <c r="A9" s="258" t="inlineStr">
        <is>
          <t>Asian</t>
        </is>
      </c>
      <c r="B9" s="258" t="n">
        <v>408</v>
      </c>
      <c r="C9" s="258" t="n">
        <v>160</v>
      </c>
      <c r="D9" s="259" t="n">
        <v>0.392156862745098</v>
      </c>
    </row>
    <row r="10" ht="15" customHeight="1" s="195">
      <c r="A10" s="194" t="n"/>
    </row>
    <row r="11" ht="15" customHeight="1" s="195">
      <c r="A11" s="278" t="inlineStr">
        <is>
          <t>By Gender</t>
        </is>
      </c>
    </row>
    <row r="12" ht="23.25" customHeight="1" s="195">
      <c r="A12" s="255" t="inlineStr">
        <is>
          <t>Gender</t>
        </is>
      </c>
      <c r="B12" s="255" t="inlineStr">
        <is>
          <t>Total Patients</t>
        </is>
      </c>
      <c r="C12" s="255" t="inlineStr">
        <is>
          <t>Readmitted</t>
        </is>
      </c>
      <c r="D12" s="255" t="inlineStr">
        <is>
          <t>Readmission Rate</t>
        </is>
      </c>
    </row>
    <row r="13" ht="15" customHeight="1" s="195">
      <c r="A13" s="258" t="inlineStr">
        <is>
          <t>Female</t>
        </is>
      </c>
      <c r="B13" s="258" t="n">
        <v>35973</v>
      </c>
      <c r="C13" s="258" t="n">
        <v>16854</v>
      </c>
      <c r="D13" s="267" t="n">
        <v>0.468518055208073</v>
      </c>
    </row>
    <row r="14" ht="15" customHeight="1" s="195">
      <c r="A14" s="256" t="inlineStr">
        <is>
          <t>Male</t>
        </is>
      </c>
      <c r="B14" s="256" t="n">
        <v>30612</v>
      </c>
      <c r="C14" s="256" t="n">
        <v>13910</v>
      </c>
      <c r="D14" s="265" t="n">
        <v>0.454396968509081</v>
      </c>
    </row>
    <row r="16" ht="42" customHeight="1" s="195">
      <c r="A16" s="263" t="n"/>
    </row>
  </sheetData>
  <mergeCells count="5">
    <mergeCell ref="A1:D1"/>
    <mergeCell ref="A11:D11"/>
    <mergeCell ref="A3:D3"/>
    <mergeCell ref="A2:D2"/>
    <mergeCell ref="A16:D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94" min="1" max="1"/>
    <col width="15" customWidth="1" style="194" min="2" max="5"/>
    <col width="20" customWidth="1" style="195" min="3" max="3"/>
    <col width="8" customWidth="1" style="195" min="4" max="4"/>
  </cols>
  <sheetData>
    <row r="1" ht="27.75" customHeight="1" s="195">
      <c r="A1" s="233" t="inlineStr">
        <is>
          <t>Q8 — Weight Distribution &amp; Readmission Rates</t>
        </is>
      </c>
    </row>
    <row r="2" ht="18" customHeight="1" s="195">
      <c r="A2" s="254" t="inlineStr">
        <is>
          <t>Assessing data completeness, then analyzing available weight-category readmission data</t>
        </is>
      </c>
    </row>
    <row r="3" ht="15" customHeight="1" s="195">
      <c r="A3" s="278" t="inlineStr">
        <is>
          <t>Data Completeness Assessment</t>
        </is>
      </c>
    </row>
    <row r="4" ht="15" customHeight="1" s="195">
      <c r="A4" s="255" t="inlineStr">
        <is>
          <t>Metric</t>
        </is>
      </c>
      <c r="B4" s="255" t="inlineStr">
        <is>
          <t>Count</t>
        </is>
      </c>
      <c r="C4" s="255" t="inlineStr">
        <is>
          <t>% of Total</t>
        </is>
      </c>
      <c r="D4" s="255" t="n"/>
    </row>
    <row r="5" ht="15" customHeight="1" s="195">
      <c r="A5" s="258" t="inlineStr">
        <is>
          <t>Total Patients</t>
        </is>
      </c>
      <c r="B5" s="258" t="n">
        <v>66587</v>
      </c>
      <c r="C5" s="259" t="n">
        <v>1</v>
      </c>
      <c r="D5" s="258" t="n"/>
    </row>
    <row r="6" ht="15" customHeight="1" s="195">
      <c r="A6" s="256" t="inlineStr">
        <is>
          <t>Weight Data Available</t>
        </is>
      </c>
      <c r="B6" s="256" t="n">
        <v>2133</v>
      </c>
      <c r="C6" s="257" t="n">
        <v>0.0320332797693244</v>
      </c>
      <c r="D6" s="256" t="n"/>
    </row>
    <row r="7" ht="15" customHeight="1" s="195">
      <c r="A7" s="258" t="inlineStr">
        <is>
          <t>Weight Data Missing (?)</t>
        </is>
      </c>
      <c r="B7" s="258" t="n">
        <v>64454</v>
      </c>
      <c r="C7" s="261" t="n">
        <v>0.967966720230676</v>
      </c>
      <c r="D7" s="258" t="n"/>
    </row>
    <row r="9" ht="15" customHeight="1" s="195">
      <c r="A9" s="278" t="inlineStr">
        <is>
          <t>Readmission by Weight Category (n=2,133 with data)</t>
        </is>
      </c>
    </row>
    <row r="10" ht="23.25" customHeight="1" s="195">
      <c r="A10" s="255" t="inlineStr">
        <is>
          <t>Weight Category</t>
        </is>
      </c>
      <c r="B10" s="255" t="inlineStr">
        <is>
          <t>Patient Count</t>
        </is>
      </c>
      <c r="C10" s="255" t="inlineStr">
        <is>
          <t>Readmission Rate</t>
        </is>
      </c>
      <c r="D10" s="255" t="n"/>
    </row>
    <row r="11" ht="15" customHeight="1" s="195">
      <c r="A11" s="258" t="inlineStr">
        <is>
          <t>[75-100)</t>
        </is>
      </c>
      <c r="B11" s="258" t="n">
        <v>900</v>
      </c>
      <c r="C11" s="267" t="n">
        <v>0.586666666666667</v>
      </c>
      <c r="D11" s="258" t="n"/>
    </row>
    <row r="12" ht="15" customHeight="1" s="195">
      <c r="A12" s="256" t="inlineStr">
        <is>
          <t>[50-75)</t>
        </is>
      </c>
      <c r="B12" s="256" t="n">
        <v>603</v>
      </c>
      <c r="C12" s="265" t="n">
        <v>0.533996683250415</v>
      </c>
      <c r="D12" s="256" t="n"/>
    </row>
    <row r="13" ht="15" customHeight="1" s="195">
      <c r="A13" s="258" t="inlineStr">
        <is>
          <t>[100-125)</t>
        </is>
      </c>
      <c r="B13" s="258" t="n">
        <v>416</v>
      </c>
      <c r="C13" s="267" t="n">
        <v>0.586538461538462</v>
      </c>
      <c r="D13" s="258" t="n"/>
    </row>
    <row r="14" ht="15" customHeight="1" s="195">
      <c r="A14" s="256" t="inlineStr">
        <is>
          <t>[125-150)</t>
        </is>
      </c>
      <c r="B14" s="256" t="n">
        <v>104</v>
      </c>
      <c r="C14" s="265" t="n">
        <v>0.490384615384615</v>
      </c>
      <c r="D14" s="256" t="n"/>
    </row>
    <row r="15" ht="15" customHeight="1" s="195">
      <c r="A15" s="258" t="inlineStr">
        <is>
          <t>[25-50)</t>
        </is>
      </c>
      <c r="B15" s="258" t="n">
        <v>52</v>
      </c>
      <c r="C15" s="267" t="n">
        <v>0.576923076923077</v>
      </c>
      <c r="D15" s="258" t="n"/>
    </row>
    <row r="16" ht="15" customHeight="1" s="195">
      <c r="A16" s="256" t="inlineStr">
        <is>
          <t>[0-25)</t>
        </is>
      </c>
      <c r="B16" s="256" t="n">
        <v>26</v>
      </c>
      <c r="C16" s="265" t="n">
        <v>0.807692307692308</v>
      </c>
      <c r="D16" s="256" t="n"/>
    </row>
    <row r="17" ht="15" customHeight="1" s="195">
      <c r="A17" s="258" t="inlineStr">
        <is>
          <t>[150-175)</t>
        </is>
      </c>
      <c r="B17" s="258" t="n">
        <v>20</v>
      </c>
      <c r="C17" s="267" t="n">
        <v>0.25</v>
      </c>
      <c r="D17" s="258" t="n"/>
    </row>
    <row r="18" ht="15" customHeight="1" s="195">
      <c r="A18" s="256" t="inlineStr">
        <is>
          <t>[175-200)</t>
        </is>
      </c>
      <c r="B18" s="256" t="n">
        <v>8</v>
      </c>
      <c r="C18" s="265" t="n">
        <v>0.375</v>
      </c>
      <c r="D18" s="256" t="n"/>
    </row>
    <row r="19" ht="15" customHeight="1" s="195">
      <c r="A19" s="258" t="inlineStr">
        <is>
          <t>&gt;200</t>
        </is>
      </c>
      <c r="B19" s="258" t="n">
        <v>4</v>
      </c>
      <c r="C19" s="267" t="n">
        <v>1</v>
      </c>
      <c r="D19" s="258" t="n"/>
    </row>
    <row r="21" ht="42" customHeight="1" s="195">
      <c r="A21" s="263" t="n"/>
    </row>
  </sheetData>
  <mergeCells count="5">
    <mergeCell ref="A1:D1"/>
    <mergeCell ref="A9:D9"/>
    <mergeCell ref="A3:D3"/>
    <mergeCell ref="A21:D2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94" min="1" max="1"/>
    <col width="15" customWidth="1" style="194" min="2" max="4"/>
    <col width="17" customWidth="1" style="195" min="3" max="3"/>
    <col width="16" customWidth="1" style="195" min="4" max="4"/>
    <col width="19" customWidth="1" style="194" min="5" max="5"/>
    <col width="50" customWidth="1" style="194" min="6" max="6"/>
  </cols>
  <sheetData>
    <row r="1" ht="27.75" customHeight="1" s="195">
      <c r="A1" s="233" t="inlineStr">
        <is>
          <t>Q9 — Number of Medications vs Length of Stay</t>
        </is>
      </c>
    </row>
    <row r="2" ht="18" customHeight="1" s="195">
      <c r="A2" s="254" t="inlineStr">
        <is>
          <t>Evaluating correlation between medications prescribed and hospital stay duration</t>
        </is>
      </c>
    </row>
    <row r="3" ht="26.25" customHeight="1" s="195">
      <c r="A3" s="279" t="inlineStr">
        <is>
          <t>Pearson Correlation (Medications vs Days in Hospital): 0.4660  — STRONG POSITIVE</t>
        </is>
      </c>
      <c r="B3" s="272" t="n"/>
      <c r="C3" s="272" t="n"/>
      <c r="D3" s="273" t="n"/>
    </row>
    <row r="4" ht="90.75" customHeight="1" s="195">
      <c r="A4" s="255" t="inlineStr">
        <is>
          <t>Medication Range</t>
        </is>
      </c>
      <c r="B4" s="255" t="inlineStr">
        <is>
          <t>Patient Count</t>
        </is>
      </c>
      <c r="C4" s="255" t="inlineStr">
        <is>
          <t>Avg Medications</t>
        </is>
      </c>
      <c r="D4" s="255" t="inlineStr">
        <is>
          <t>Avg LOS (Days)</t>
        </is>
      </c>
      <c r="E4" s="255" t="inlineStr">
        <is>
          <t>Readmission Rate</t>
        </is>
      </c>
    </row>
    <row r="5" ht="34.5" customHeight="1" s="195">
      <c r="A5" s="258" t="inlineStr">
        <is>
          <t>1-5</t>
        </is>
      </c>
      <c r="B5" s="258" t="n">
        <v>3326</v>
      </c>
      <c r="C5" s="258" t="n">
        <v>3.9</v>
      </c>
      <c r="D5" s="258" t="n">
        <v>2.28</v>
      </c>
      <c r="E5" s="267" t="n">
        <v>0.338845460012027</v>
      </c>
    </row>
    <row r="6" ht="34.5" customHeight="1" s="195">
      <c r="A6" s="256" t="inlineStr">
        <is>
          <t>6-10</t>
        </is>
      </c>
      <c r="B6" s="256" t="n">
        <v>13574</v>
      </c>
      <c r="C6" s="256" t="n">
        <v>8.300000000000001</v>
      </c>
      <c r="D6" s="256" t="n">
        <v>3.02</v>
      </c>
      <c r="E6" s="265" t="n">
        <v>0.412774421688522</v>
      </c>
    </row>
    <row r="7" ht="34.5" customHeight="1" s="195">
      <c r="A7" s="258" t="inlineStr">
        <is>
          <t>11-15</t>
        </is>
      </c>
      <c r="B7" s="258" t="n">
        <v>19078</v>
      </c>
      <c r="C7" s="258" t="n">
        <v>13</v>
      </c>
      <c r="D7" s="258" t="n">
        <v>3.84</v>
      </c>
      <c r="E7" s="267" t="n">
        <v>0.463727854072754</v>
      </c>
    </row>
    <row r="8" ht="34.5" customHeight="1" s="195">
      <c r="A8" s="256" t="inlineStr">
        <is>
          <t>16-20</t>
        </is>
      </c>
      <c r="B8" s="256" t="n">
        <v>15054</v>
      </c>
      <c r="C8" s="256" t="n">
        <v>17.8</v>
      </c>
      <c r="D8" s="256" t="n">
        <v>4.7</v>
      </c>
      <c r="E8" s="265" t="n">
        <v>0.498405739338382</v>
      </c>
    </row>
    <row r="9" ht="34.5" customHeight="1" s="195">
      <c r="A9" s="258" t="inlineStr">
        <is>
          <t>21-25</t>
        </is>
      </c>
      <c r="B9" s="258" t="n">
        <v>8178</v>
      </c>
      <c r="C9" s="258" t="n">
        <v>22.7</v>
      </c>
      <c r="D9" s="258" t="n">
        <v>5.66</v>
      </c>
      <c r="E9" s="267" t="n">
        <v>0.5037906578625579</v>
      </c>
    </row>
    <row r="10" ht="34.5" customHeight="1" s="195">
      <c r="A10" s="256" t="inlineStr">
        <is>
          <t>26-30</t>
        </is>
      </c>
      <c r="B10" s="256" t="n">
        <v>3950</v>
      </c>
      <c r="C10" s="256" t="n">
        <v>27.7</v>
      </c>
      <c r="D10" s="256" t="n">
        <v>6.72</v>
      </c>
      <c r="E10" s="265" t="n">
        <v>0.5096202531645569</v>
      </c>
    </row>
    <row r="11" ht="34.5" customHeight="1" s="195">
      <c r="A11" s="258" t="inlineStr">
        <is>
          <t>30+</t>
        </is>
      </c>
      <c r="B11" s="258" t="n">
        <v>3427</v>
      </c>
      <c r="C11" s="258" t="n">
        <v>38</v>
      </c>
      <c r="D11" s="258" t="n">
        <v>8.02</v>
      </c>
      <c r="E11" s="267" t="n">
        <v>0.452582433615407</v>
      </c>
    </row>
    <row r="13" ht="42" customHeight="1" s="195">
      <c r="A13" s="263" t="n"/>
    </row>
  </sheetData>
  <mergeCells count="4">
    <mergeCell ref="A1:D1"/>
    <mergeCell ref="A2:D2"/>
    <mergeCell ref="A3:D3"/>
    <mergeCell ref="A13:E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9" customWidth="1" style="194" min="1" max="1"/>
    <col width="15" customWidth="1" style="194" min="2" max="4"/>
    <col width="19" customWidth="1" style="195" min="3" max="3"/>
    <col width="20" customWidth="1" style="195" min="4" max="4"/>
    <col width="3" customWidth="1" style="194" min="5" max="5"/>
    <col width="50" customWidth="1" style="194" min="6" max="6"/>
  </cols>
  <sheetData>
    <row r="1" ht="27.75" customHeight="1" s="195">
      <c r="A1" s="233" t="inlineStr">
        <is>
          <t>Q10 — Outpatient Visits vs Readmission Rates</t>
        </is>
      </c>
    </row>
    <row r="2" ht="18" customHeight="1" s="195">
      <c r="A2" s="254" t="inlineStr">
        <is>
          <t>Prior outpatient care utilization and its relationship to 30-day readmissions</t>
        </is>
      </c>
    </row>
    <row r="3" ht="26.25" customHeight="1" s="195">
      <c r="A3" s="271" t="inlineStr">
        <is>
          <t>Correlation — Outpatient: 0.0816  |  Inpatient: 0.2174  |  Emergency: 0.1078</t>
        </is>
      </c>
      <c r="B3" s="272" t="n"/>
      <c r="C3" s="272" t="n"/>
      <c r="D3" s="273" t="n"/>
    </row>
    <row r="4" ht="23.25" customHeight="1" s="195">
      <c r="A4" s="255" t="inlineStr">
        <is>
          <t>Prior Outpatient Visits</t>
        </is>
      </c>
      <c r="B4" s="255" t="inlineStr">
        <is>
          <t>Patient Count</t>
        </is>
      </c>
      <c r="C4" s="255" t="inlineStr">
        <is>
          <t>Readmission Rate</t>
        </is>
      </c>
      <c r="D4" s="255" t="inlineStr">
        <is>
          <t>vs Zero Visits</t>
        </is>
      </c>
    </row>
    <row r="5" ht="15" customHeight="1" s="195">
      <c r="A5" s="258" t="n">
        <v>0</v>
      </c>
      <c r="B5" s="258" t="n">
        <v>55578</v>
      </c>
      <c r="C5" s="267" t="n">
        <v>0.437781136420886</v>
      </c>
      <c r="D5" s="280" t="n">
        <v>0</v>
      </c>
    </row>
    <row r="6" ht="15" customHeight="1" s="195">
      <c r="A6" s="256" t="n">
        <v>1</v>
      </c>
      <c r="B6" s="256" t="n">
        <v>5622</v>
      </c>
      <c r="C6" s="265" t="n">
        <v>0.5775524724297399</v>
      </c>
      <c r="D6" s="281" t="n">
        <v>0.139771336008854</v>
      </c>
    </row>
    <row r="7" ht="15" customHeight="1" s="195">
      <c r="A7" s="258" t="n">
        <v>2</v>
      </c>
      <c r="B7" s="258" t="n">
        <v>2394</v>
      </c>
      <c r="C7" s="267" t="n">
        <v>0.599415204678363</v>
      </c>
      <c r="D7" s="282" t="n">
        <v>0.161634068257477</v>
      </c>
    </row>
    <row r="8" ht="15" customHeight="1" s="195">
      <c r="A8" s="256" t="n">
        <v>3</v>
      </c>
      <c r="B8" s="256" t="n">
        <v>1313</v>
      </c>
      <c r="C8" s="265" t="n">
        <v>0.571210967250571</v>
      </c>
      <c r="D8" s="281" t="n">
        <v>0.133429830829685</v>
      </c>
    </row>
    <row r="9" ht="15" customHeight="1" s="195">
      <c r="A9" s="258" t="n">
        <v>4</v>
      </c>
      <c r="B9" s="258" t="n">
        <v>746</v>
      </c>
      <c r="C9" s="267" t="n">
        <v>0.57774798927614</v>
      </c>
      <c r="D9" s="282" t="n">
        <v>0.139966852855254</v>
      </c>
    </row>
    <row r="10" ht="15" customHeight="1" s="195">
      <c r="A10" s="256" t="n">
        <v>5</v>
      </c>
      <c r="B10" s="256" t="n">
        <v>346</v>
      </c>
      <c r="C10" s="265" t="n">
        <v>0.540462427745665</v>
      </c>
      <c r="D10" s="281" t="n">
        <v>0.102681291324779</v>
      </c>
    </row>
    <row r="11" ht="15" customHeight="1" s="195">
      <c r="A11" s="258" t="n">
        <v>6</v>
      </c>
      <c r="B11" s="258" t="n">
        <v>201</v>
      </c>
      <c r="C11" s="267" t="n">
        <v>0.676616915422886</v>
      </c>
      <c r="D11" s="282" t="n">
        <v>0.238835779002</v>
      </c>
    </row>
    <row r="12" ht="15" customHeight="1" s="195">
      <c r="A12" s="256" t="n">
        <v>7</v>
      </c>
      <c r="B12" s="256" t="n">
        <v>103</v>
      </c>
      <c r="C12" s="265" t="n">
        <v>0.660194174757282</v>
      </c>
      <c r="D12" s="281" t="n">
        <v>0.222413038336396</v>
      </c>
    </row>
    <row r="13" ht="15" customHeight="1" s="195">
      <c r="A13" s="258" t="n">
        <v>8</v>
      </c>
      <c r="B13" s="258" t="n">
        <v>67</v>
      </c>
      <c r="C13" s="267" t="n">
        <v>0.462686567164179</v>
      </c>
      <c r="D13" s="282" t="n">
        <v>0.0249054307432932</v>
      </c>
    </row>
    <row r="14" ht="15" customHeight="1" s="195">
      <c r="A14" s="256" t="n">
        <v>9</v>
      </c>
      <c r="B14" s="256" t="n">
        <v>55</v>
      </c>
      <c r="C14" s="265" t="n">
        <v>0.6</v>
      </c>
      <c r="D14" s="281" t="n">
        <v>0.162218863579114</v>
      </c>
    </row>
    <row r="15" ht="15" customHeight="1" s="195">
      <c r="A15" s="258" t="n">
        <v>10</v>
      </c>
      <c r="B15" s="258" t="n">
        <v>38</v>
      </c>
      <c r="C15" s="267" t="n">
        <v>0.736842105263158</v>
      </c>
      <c r="D15" s="282" t="n">
        <v>0.299060968842272</v>
      </c>
    </row>
    <row r="16" ht="15" customHeight="1" s="195">
      <c r="A16" s="256" t="n">
        <v>11</v>
      </c>
      <c r="B16" s="256" t="n">
        <v>29</v>
      </c>
      <c r="C16" s="265" t="n">
        <v>0.655172413793103</v>
      </c>
      <c r="D16" s="281" t="n">
        <v>0.217391277372218</v>
      </c>
    </row>
    <row r="18" ht="42" customHeight="1" s="195">
      <c r="A18" s="263" t="n"/>
    </row>
  </sheetData>
  <mergeCells count="4">
    <mergeCell ref="A1:D1"/>
    <mergeCell ref="A18:D18"/>
    <mergeCell ref="A3:D3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94" min="1" max="1"/>
    <col width="15" customWidth="1" style="194" min="2" max="5"/>
    <col width="38" customWidth="1" style="195" min="3" max="3"/>
    <col width="19" customWidth="1" style="195" min="4" max="4"/>
    <col width="15" customWidth="1" style="195" min="5" max="5"/>
    <col width="19" customWidth="1" style="194" min="6" max="6"/>
    <col width="48" customWidth="1" style="194" min="7" max="7"/>
  </cols>
  <sheetData>
    <row r="1" ht="27.75" customHeight="1" s="195">
      <c r="A1" s="233" t="inlineStr">
        <is>
          <t>MQ1 — Comorbidity Analysis: Multiple Diagnoses Impact</t>
        </is>
      </c>
    </row>
    <row r="2" ht="18" customHeight="1" s="195">
      <c r="A2" s="254" t="inlineStr">
        <is>
          <t>How does the number of concurrent diagnoses affect LOS, readmission risk, and resource use?</t>
        </is>
      </c>
    </row>
    <row r="3" ht="19.5" customHeight="1" s="195">
      <c r="A3" s="283" t="inlineStr">
        <is>
          <t>Dataset: 66,587 patients  |  Mean # Diagnoses: 7.4  |  Max: 16</t>
        </is>
      </c>
      <c r="B3" s="272" t="n"/>
      <c r="C3" s="272" t="n"/>
      <c r="D3" s="272" t="n"/>
      <c r="E3" s="273" t="n"/>
    </row>
    <row r="4" ht="21.75" customHeight="1" s="195">
      <c r="A4" s="255" t="inlineStr">
        <is>
          <t>Comorbidity Level</t>
        </is>
      </c>
      <c r="B4" s="255" t="inlineStr">
        <is>
          <t>Patient Count</t>
        </is>
      </c>
      <c r="C4" s="255" t="inlineStr">
        <is>
          <t>Avg LOS (Days)</t>
        </is>
      </c>
      <c r="D4" s="255" t="inlineStr">
        <is>
          <t>Avg Medications</t>
        </is>
      </c>
      <c r="E4" s="255" t="inlineStr">
        <is>
          <t>Avg Lab Tests</t>
        </is>
      </c>
      <c r="F4" s="255" t="inlineStr">
        <is>
          <t>Readmission Rate</t>
        </is>
      </c>
    </row>
    <row r="5" ht="19.5" customHeight="1" s="195">
      <c r="A5" s="258" t="inlineStr">
        <is>
          <t>Low (1–3)</t>
        </is>
      </c>
      <c r="B5" s="258" t="n">
        <v>2664</v>
      </c>
      <c r="C5" s="270" t="n">
        <v>2.76</v>
      </c>
      <c r="D5" s="270" t="n">
        <v>10.5</v>
      </c>
      <c r="E5" s="270" t="n">
        <v>36.6</v>
      </c>
      <c r="F5" s="259" t="n">
        <v>0.340465465465466</v>
      </c>
    </row>
    <row r="6" ht="19.5" customHeight="1" s="195">
      <c r="A6" s="256" t="inlineStr">
        <is>
          <t>Medium (4–6)</t>
        </is>
      </c>
      <c r="B6" s="256" t="n">
        <v>17734</v>
      </c>
      <c r="C6" s="269" t="n">
        <v>3.72</v>
      </c>
      <c r="D6" s="269" t="n">
        <v>13.8</v>
      </c>
      <c r="E6" s="269" t="n">
        <v>40</v>
      </c>
      <c r="F6" s="257" t="n">
        <v>0.39663922408932</v>
      </c>
    </row>
    <row r="7" ht="19.5" customHeight="1" s="195">
      <c r="A7" s="258" t="inlineStr">
        <is>
          <t>High (7–9)</t>
        </is>
      </c>
      <c r="B7" s="258" t="n">
        <v>46112</v>
      </c>
      <c r="C7" s="270" t="n">
        <v>4.75</v>
      </c>
      <c r="D7" s="270" t="n">
        <v>17.2</v>
      </c>
      <c r="E7" s="270" t="n">
        <v>44.7</v>
      </c>
      <c r="F7" s="261" t="n">
        <v>0.494123004857738</v>
      </c>
    </row>
    <row r="8" ht="19.5" customHeight="1" s="195">
      <c r="A8" s="256" t="inlineStr">
        <is>
          <t>Very High (10+)</t>
        </is>
      </c>
      <c r="B8" s="256" t="n">
        <v>77</v>
      </c>
      <c r="C8" s="269" t="n">
        <v>5.74</v>
      </c>
      <c r="D8" s="269" t="n">
        <v>20.7</v>
      </c>
      <c r="E8" s="269" t="n">
        <v>47.8</v>
      </c>
      <c r="F8" s="260" t="n">
        <v>0.493506493506494</v>
      </c>
    </row>
    <row r="9" ht="9.75" customHeight="1" s="195"/>
    <row r="10" ht="21.75" customHeight="1" s="195">
      <c r="A10" s="205" t="inlineStr">
        <is>
          <t>Correlation Analysis</t>
        </is>
      </c>
    </row>
    <row r="11" ht="19.5" customHeight="1" s="195">
      <c r="A11" s="234" t="inlineStr">
        <is>
          <t>Metric</t>
        </is>
      </c>
      <c r="B11" s="234" t="inlineStr">
        <is>
          <t>Pearson r</t>
        </is>
      </c>
      <c r="C11" s="234" t="n"/>
      <c r="D11" s="234" t="inlineStr">
        <is>
          <t>Strength</t>
        </is>
      </c>
      <c r="E11" s="234" t="n"/>
    </row>
    <row r="12" ht="19.5" customHeight="1" s="195">
      <c r="A12" s="256" t="inlineStr">
        <is>
          <t>No. Diagnoses vs LOS</t>
        </is>
      </c>
      <c r="B12" s="256" t="n">
        <v>0.2179</v>
      </c>
      <c r="C12" s="256" t="inlineStr">
        <is>
          <t>More diagnoses → longer stays</t>
        </is>
      </c>
      <c r="D12" s="256" t="inlineStr">
        <is>
          <t>Moderate Positive</t>
        </is>
      </c>
      <c r="E12" s="256" t="n"/>
    </row>
    <row r="13" ht="19.5" customHeight="1" s="195">
      <c r="A13" s="258" t="inlineStr">
        <is>
          <t>No. Diagnoses vs Readmission</t>
        </is>
      </c>
      <c r="B13" s="258" t="n">
        <v>0.1073</v>
      </c>
      <c r="C13" s="258" t="inlineStr">
        <is>
          <t>More diagnoses → higher readmit risk</t>
        </is>
      </c>
      <c r="D13" s="258" t="inlineStr">
        <is>
          <t>Moderate Positive</t>
        </is>
      </c>
      <c r="E13" s="258" t="n"/>
    </row>
    <row r="15" ht="54.75" customHeight="1" s="195">
      <c r="A15" s="263" t="n"/>
    </row>
  </sheetData>
  <mergeCells count="5">
    <mergeCell ref="A2:E2"/>
    <mergeCell ref="A15:E15"/>
    <mergeCell ref="A10:E10"/>
    <mergeCell ref="A1:E1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94" min="1" max="1"/>
    <col width="15" customWidth="1" style="194" min="2" max="2"/>
    <col width="15" customWidth="1" style="194" min="3" max="6"/>
    <col width="17" customWidth="1" style="195" min="4" max="4"/>
    <col width="19" customWidth="1" style="195" min="5" max="5"/>
    <col width="21" customWidth="1" style="195" min="6" max="6"/>
    <col width="19" customWidth="1" style="194" min="7" max="7"/>
    <col width="46" customWidth="1" style="194" min="8" max="8"/>
  </cols>
  <sheetData>
    <row r="1" ht="27.75" customHeight="1" s="195">
      <c r="A1" s="233" t="inlineStr">
        <is>
          <t>MQ2 — Demographic Disparities in Medical Interventions</t>
        </is>
      </c>
    </row>
    <row r="2" ht="18" customHeight="1" s="195">
      <c r="A2" s="254" t="inlineStr">
        <is>
          <t>Are there differences in lab tests, medications, and procedures received across race and gender groups?</t>
        </is>
      </c>
    </row>
    <row r="3" ht="21.75" customHeight="1" s="195">
      <c r="A3" s="255" t="inlineStr">
        <is>
          <t>Race</t>
        </is>
      </c>
      <c r="B3" s="255" t="inlineStr">
        <is>
          <t>Gender</t>
        </is>
      </c>
      <c r="C3" s="255" t="inlineStr">
        <is>
          <t>Patient Count</t>
        </is>
      </c>
      <c r="D3" s="255" t="inlineStr">
        <is>
          <t>Avg Lab Tests</t>
        </is>
      </c>
      <c r="E3" s="255" t="inlineStr">
        <is>
          <t>Avg Medications</t>
        </is>
      </c>
      <c r="F3" s="255" t="inlineStr">
        <is>
          <t>Avg Procedures</t>
        </is>
      </c>
      <c r="G3" s="255" t="inlineStr">
        <is>
          <t>Readmission Rate</t>
        </is>
      </c>
    </row>
    <row r="4" ht="19.5" customHeight="1" s="195">
      <c r="A4" s="256" t="inlineStr">
        <is>
          <t>AfricanAmerican</t>
        </is>
      </c>
      <c r="B4" s="256" t="inlineStr">
        <is>
          <t>Female</t>
        </is>
      </c>
      <c r="C4" s="256" t="n">
        <v>7565</v>
      </c>
      <c r="D4" s="269" t="n">
        <v>43.6</v>
      </c>
      <c r="E4" s="269" t="n">
        <v>15.7</v>
      </c>
      <c r="F4" s="269" t="n">
        <v>1.21</v>
      </c>
      <c r="G4" s="257" t="n">
        <v>0.466358228684732</v>
      </c>
    </row>
    <row r="5" ht="19.5" customHeight="1" s="195">
      <c r="A5" s="258" t="inlineStr">
        <is>
          <t>AfricanAmerican</t>
        </is>
      </c>
      <c r="B5" s="258" t="inlineStr">
        <is>
          <t>Male</t>
        </is>
      </c>
      <c r="C5" s="258" t="n">
        <v>4841</v>
      </c>
      <c r="D5" s="270" t="n">
        <v>45</v>
      </c>
      <c r="E5" s="270" t="n">
        <v>15</v>
      </c>
      <c r="F5" s="270" t="n">
        <v>1.26</v>
      </c>
      <c r="G5" s="259" t="n">
        <v>0.449287337326999</v>
      </c>
    </row>
    <row r="6" ht="19.5" customHeight="1" s="195">
      <c r="A6" s="256" t="inlineStr">
        <is>
          <t>Asian</t>
        </is>
      </c>
      <c r="B6" s="256" t="inlineStr">
        <is>
          <t>Female</t>
        </is>
      </c>
      <c r="C6" s="256" t="n">
        <v>215</v>
      </c>
      <c r="D6" s="269" t="n">
        <v>39.8</v>
      </c>
      <c r="E6" s="269" t="n">
        <v>12.9</v>
      </c>
      <c r="F6" s="269" t="n">
        <v>1.14</v>
      </c>
      <c r="G6" s="257" t="n">
        <v>0.418604651162791</v>
      </c>
    </row>
    <row r="7" ht="19.5" customHeight="1" s="195">
      <c r="A7" s="258" t="inlineStr">
        <is>
          <t>Asian</t>
        </is>
      </c>
      <c r="B7" s="258" t="inlineStr">
        <is>
          <t>Male</t>
        </is>
      </c>
      <c r="C7" s="258" t="n">
        <v>193</v>
      </c>
      <c r="D7" s="270" t="n">
        <v>43.1</v>
      </c>
      <c r="E7" s="270" t="n">
        <v>13.5</v>
      </c>
      <c r="F7" s="270" t="n">
        <v>1.52</v>
      </c>
      <c r="G7" s="259" t="n">
        <v>0.362694300518135</v>
      </c>
    </row>
    <row r="8" ht="19.5" customHeight="1" s="195">
      <c r="A8" s="256" t="inlineStr">
        <is>
          <t>Caucasian</t>
        </is>
      </c>
      <c r="B8" s="256" t="inlineStr">
        <is>
          <t>Female</t>
        </is>
      </c>
      <c r="C8" s="256" t="n">
        <v>26198</v>
      </c>
      <c r="D8" s="269" t="n">
        <v>43.2</v>
      </c>
      <c r="E8" s="269" t="n">
        <v>16.4</v>
      </c>
      <c r="F8" s="269" t="n">
        <v>1.25</v>
      </c>
      <c r="G8" s="260" t="n">
        <v>0.477517367737995</v>
      </c>
    </row>
    <row r="9" ht="19.5" customHeight="1" s="195">
      <c r="A9" s="258" t="inlineStr">
        <is>
          <t>Caucasian</t>
        </is>
      </c>
      <c r="B9" s="258" t="inlineStr">
        <is>
          <t>Male</t>
        </is>
      </c>
      <c r="C9" s="258" t="n">
        <v>23708</v>
      </c>
      <c r="D9" s="270" t="n">
        <v>42.5</v>
      </c>
      <c r="E9" s="270" t="n">
        <v>16.1</v>
      </c>
      <c r="F9" s="270" t="n">
        <v>1.49</v>
      </c>
      <c r="G9" s="259" t="n">
        <v>0.462586468702548</v>
      </c>
    </row>
    <row r="10" ht="19.5" customHeight="1" s="195">
      <c r="A10" s="256" t="inlineStr">
        <is>
          <t>Hispanic</t>
        </is>
      </c>
      <c r="B10" s="256" t="inlineStr">
        <is>
          <t>Female</t>
        </is>
      </c>
      <c r="C10" s="256" t="n">
        <v>724</v>
      </c>
      <c r="D10" s="269" t="n">
        <v>41.6</v>
      </c>
      <c r="E10" s="269" t="n">
        <v>14.1</v>
      </c>
      <c r="F10" s="269" t="n">
        <v>1.08</v>
      </c>
      <c r="G10" s="257" t="n">
        <v>0.397790055248619</v>
      </c>
    </row>
    <row r="11" ht="19.5" customHeight="1" s="195">
      <c r="A11" s="258" t="inlineStr">
        <is>
          <t>Hispanic</t>
        </is>
      </c>
      <c r="B11" s="258" t="inlineStr">
        <is>
          <t>Male</t>
        </is>
      </c>
      <c r="C11" s="258" t="n">
        <v>589</v>
      </c>
      <c r="D11" s="270" t="n">
        <v>41.9</v>
      </c>
      <c r="E11" s="270" t="n">
        <v>14</v>
      </c>
      <c r="F11" s="270" t="n">
        <v>1.08</v>
      </c>
      <c r="G11" s="259" t="n">
        <v>0.419354838709677</v>
      </c>
    </row>
    <row r="12" ht="19.5" customHeight="1" s="195">
      <c r="A12" s="256" t="inlineStr">
        <is>
          <t>Other</t>
        </is>
      </c>
      <c r="B12" s="256" t="inlineStr">
        <is>
          <t>Female</t>
        </is>
      </c>
      <c r="C12" s="256" t="n">
        <v>543</v>
      </c>
      <c r="D12" s="269" t="n">
        <v>43.7</v>
      </c>
      <c r="E12" s="269" t="n">
        <v>14.8</v>
      </c>
      <c r="F12" s="269" t="n">
        <v>1.33</v>
      </c>
      <c r="G12" s="257" t="n">
        <v>0.395948434622468</v>
      </c>
    </row>
    <row r="13" ht="19.5" customHeight="1" s="195">
      <c r="A13" s="258" t="inlineStr">
        <is>
          <t>Other</t>
        </is>
      </c>
      <c r="B13" s="258" t="inlineStr">
        <is>
          <t>Male</t>
        </is>
      </c>
      <c r="C13" s="258" t="n">
        <v>506</v>
      </c>
      <c r="D13" s="270" t="n">
        <v>44.1</v>
      </c>
      <c r="E13" s="270" t="n">
        <v>15.8</v>
      </c>
      <c r="F13" s="270" t="n">
        <v>1.68</v>
      </c>
      <c r="G13" s="259" t="n">
        <v>0.409090909090909</v>
      </c>
    </row>
    <row r="14" ht="9.75" customHeight="1" s="195"/>
    <row r="15" ht="21.75" customHeight="1" s="195">
      <c r="A15" s="205" t="inlineStr">
        <is>
          <t>Summary by Race (Both Genders Combined)</t>
        </is>
      </c>
    </row>
    <row r="16" ht="21.75" customHeight="1" s="195">
      <c r="A16" s="255" t="inlineStr">
        <is>
          <t>Race</t>
        </is>
      </c>
      <c r="B16" s="255" t="inlineStr">
        <is>
          <t>Patient Count</t>
        </is>
      </c>
      <c r="C16" s="255" t="inlineStr">
        <is>
          <t>Avg Lab Tests</t>
        </is>
      </c>
      <c r="D16" s="255" t="inlineStr">
        <is>
          <t>Avg Medications</t>
        </is>
      </c>
      <c r="E16" s="255" t="inlineStr">
        <is>
          <t>Readmission Rate</t>
        </is>
      </c>
      <c r="F16" s="255" t="inlineStr">
        <is>
          <t>Delta vs Caucasian</t>
        </is>
      </c>
    </row>
    <row r="17" ht="19.5" customHeight="1" s="195">
      <c r="A17" s="258" t="inlineStr">
        <is>
          <t>Caucasian</t>
        </is>
      </c>
      <c r="B17" s="258" t="n">
        <v>49906</v>
      </c>
      <c r="C17" s="270" t="n">
        <v>42.9</v>
      </c>
      <c r="D17" s="270" t="n">
        <v>16.3</v>
      </c>
      <c r="E17" s="261" t="n">
        <v>0.470424397867992</v>
      </c>
      <c r="F17" s="284" t="n">
        <v>0</v>
      </c>
    </row>
    <row r="18" ht="19.5" customHeight="1" s="195">
      <c r="A18" s="256" t="inlineStr">
        <is>
          <t>AfricanAmerican</t>
        </is>
      </c>
      <c r="B18" s="256" t="n">
        <v>12406</v>
      </c>
      <c r="C18" s="269" t="n">
        <v>44.1</v>
      </c>
      <c r="D18" s="269" t="n">
        <v>15.4</v>
      </c>
      <c r="E18" s="257" t="n">
        <v>0.459696920844753</v>
      </c>
      <c r="F18" s="285" t="n">
        <v>-0.0107274770232393</v>
      </c>
    </row>
    <row r="19" ht="19.5" customHeight="1" s="195">
      <c r="A19" s="258" t="inlineStr">
        <is>
          <t>Hispanic</t>
        </is>
      </c>
      <c r="B19" s="258" t="n">
        <v>1313</v>
      </c>
      <c r="C19" s="270" t="n">
        <v>41.7</v>
      </c>
      <c r="D19" s="270" t="n">
        <v>14.1</v>
      </c>
      <c r="E19" s="259" t="n">
        <v>0.407463823305408</v>
      </c>
      <c r="F19" s="284" t="n">
        <v>-0.0629605745625844</v>
      </c>
    </row>
    <row r="20" ht="19.5" customHeight="1" s="195">
      <c r="A20" s="256" t="inlineStr">
        <is>
          <t>Other</t>
        </is>
      </c>
      <c r="B20" s="256" t="n">
        <v>1050</v>
      </c>
      <c r="C20" s="269" t="n">
        <v>43.8</v>
      </c>
      <c r="D20" s="269" t="n">
        <v>15.3</v>
      </c>
      <c r="E20" s="257" t="n">
        <v>0.401904761904762</v>
      </c>
      <c r="F20" s="285" t="n">
        <v>-0.06851963596322989</v>
      </c>
    </row>
    <row r="21" ht="19.5" customHeight="1" s="195">
      <c r="A21" s="258" t="inlineStr">
        <is>
          <t>Asian</t>
        </is>
      </c>
      <c r="B21" s="258" t="n">
        <v>408</v>
      </c>
      <c r="C21" s="270" t="n">
        <v>41.4</v>
      </c>
      <c r="D21" s="270" t="n">
        <v>13.2</v>
      </c>
      <c r="E21" s="259" t="n">
        <v>0.392156862745098</v>
      </c>
      <c r="F21" s="284" t="n">
        <v>-0.07826753512289381</v>
      </c>
    </row>
    <row r="23" ht="60" customHeight="1" s="195">
      <c r="A23" s="263" t="n"/>
    </row>
  </sheetData>
  <mergeCells count="4">
    <mergeCell ref="A2:F2"/>
    <mergeCell ref="A1:F1"/>
    <mergeCell ref="A23:F23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9" customWidth="1" style="194" min="1" max="1"/>
    <col width="15" customWidth="1" style="194" min="2" max="2"/>
    <col width="21" customWidth="1" style="194" min="3" max="6"/>
    <col width="16" customWidth="1" style="195" min="4" max="4"/>
    <col width="15" customWidth="1" style="195" min="5" max="5"/>
    <col width="18" customWidth="1" style="195" min="6" max="6"/>
    <col width="19" customWidth="1" style="194" min="7" max="7"/>
    <col width="46" customWidth="1" style="194" min="8" max="8"/>
  </cols>
  <sheetData>
    <row r="1" ht="27.75" customHeight="1" s="195">
      <c r="A1" s="233" t="inlineStr">
        <is>
          <t>MQ3 — Inpatient / Outpatient / Emergency Visits by Primary Diagnosis</t>
        </is>
      </c>
    </row>
    <row r="2" ht="18" customHeight="1" s="195">
      <c r="A2" s="254" t="inlineStr">
        <is>
          <t>Which diagnoses are associated with the highest prior healthcare utilization?</t>
        </is>
      </c>
    </row>
    <row r="3" ht="21.75" customHeight="1" s="195">
      <c r="A3" s="255" t="inlineStr">
        <is>
          <t>Primary Diagnosis</t>
        </is>
      </c>
      <c r="B3" s="255" t="inlineStr">
        <is>
          <t>Patient Count</t>
        </is>
      </c>
      <c r="C3" s="255" t="inlineStr">
        <is>
          <t>Avg Prior Inpatient</t>
        </is>
      </c>
      <c r="D3" s="255" t="inlineStr">
        <is>
          <t>Avg Outpatient</t>
        </is>
      </c>
      <c r="E3" s="255" t="inlineStr">
        <is>
          <t>Avg Emergency</t>
        </is>
      </c>
      <c r="F3" s="255" t="inlineStr">
        <is>
          <t>Total Avg Visits</t>
        </is>
      </c>
      <c r="G3" s="255" t="inlineStr">
        <is>
          <t>Readmission Rate</t>
        </is>
      </c>
    </row>
    <row r="4" ht="19.5" customHeight="1" s="195">
      <c r="A4" s="256" t="inlineStr">
        <is>
          <t>Chronic Bronchitis</t>
        </is>
      </c>
      <c r="B4" s="256" t="n">
        <v>1555</v>
      </c>
      <c r="C4" s="269" t="n">
        <v>0.987</v>
      </c>
      <c r="D4" s="269" t="n">
        <v>0.507</v>
      </c>
      <c r="E4" s="269" t="n">
        <v>0.314</v>
      </c>
      <c r="F4" s="269" t="n">
        <v>1.81</v>
      </c>
      <c r="G4" s="260" t="n">
        <v>0.604501607717042</v>
      </c>
    </row>
    <row r="5" ht="19.5" customHeight="1" s="195">
      <c r="A5" s="258" t="inlineStr">
        <is>
          <t>Heart Failure</t>
        </is>
      </c>
      <c r="B5" s="258" t="n">
        <v>4564</v>
      </c>
      <c r="C5" s="270" t="n">
        <v>0.953</v>
      </c>
      <c r="D5" s="270" t="n">
        <v>0.443</v>
      </c>
      <c r="E5" s="270" t="n">
        <v>0.184</v>
      </c>
      <c r="F5" s="270" t="n">
        <v>1.58</v>
      </c>
      <c r="G5" s="261" t="n">
        <v>0.586108676599474</v>
      </c>
    </row>
    <row r="6" ht="19.5" customHeight="1" s="195">
      <c r="A6" s="256" t="inlineStr">
        <is>
          <t>Procedure Complications (996)</t>
        </is>
      </c>
      <c r="B6" s="256" t="n">
        <v>1265</v>
      </c>
      <c r="C6" s="269" t="n">
        <v>1.006</v>
      </c>
      <c r="D6" s="269" t="n">
        <v>0.372</v>
      </c>
      <c r="E6" s="269" t="n">
        <v>0.207</v>
      </c>
      <c r="F6" s="269" t="n">
        <v>1.59</v>
      </c>
      <c r="G6" s="257" t="n">
        <v>0.523320158102767</v>
      </c>
    </row>
    <row r="7" ht="19.5" customHeight="1" s="195">
      <c r="A7" s="258" t="inlineStr">
        <is>
          <t>Pneumonia</t>
        </is>
      </c>
      <c r="B7" s="258" t="n">
        <v>2233</v>
      </c>
      <c r="C7" s="270" t="n">
        <v>0.594</v>
      </c>
      <c r="D7" s="270" t="n">
        <v>0.42</v>
      </c>
      <c r="E7" s="270" t="n">
        <v>0.166</v>
      </c>
      <c r="F7" s="270" t="n">
        <v>1.18</v>
      </c>
      <c r="G7" s="259" t="n">
        <v>0.478728168383341</v>
      </c>
    </row>
    <row r="8" ht="19.5" customHeight="1" s="195">
      <c r="A8" s="256" t="inlineStr">
        <is>
          <t>Cardiac Dysrhythmia</t>
        </is>
      </c>
      <c r="B8" s="256" t="n">
        <v>1787</v>
      </c>
      <c r="C8" s="269" t="n">
        <v>0.45</v>
      </c>
      <c r="D8" s="269" t="n">
        <v>0.401</v>
      </c>
      <c r="E8" s="269" t="n">
        <v>0.125</v>
      </c>
      <c r="F8" s="269" t="n">
        <v>0.98</v>
      </c>
      <c r="G8" s="257" t="n">
        <v>0.465025181869054</v>
      </c>
    </row>
    <row r="9" ht="19.5" customHeight="1" s="195">
      <c r="A9" s="258" t="inlineStr">
        <is>
          <t>Signs/Symptoms NEC</t>
        </is>
      </c>
      <c r="B9" s="258" t="n">
        <v>1362</v>
      </c>
      <c r="C9" s="270" t="n">
        <v>0.623</v>
      </c>
      <c r="D9" s="270" t="n">
        <v>0.354</v>
      </c>
      <c r="E9" s="270" t="n">
        <v>0.222</v>
      </c>
      <c r="F9" s="270" t="n">
        <v>1.2</v>
      </c>
      <c r="G9" s="259" t="n">
        <v>0.461086637298091</v>
      </c>
    </row>
    <row r="10" ht="19.5" customHeight="1" s="195">
      <c r="A10" s="256" t="inlineStr">
        <is>
          <t>Cellulitis</t>
        </is>
      </c>
      <c r="B10" s="256" t="n">
        <v>1371</v>
      </c>
      <c r="C10" s="269" t="n">
        <v>0.541</v>
      </c>
      <c r="D10" s="269" t="n">
        <v>0.385</v>
      </c>
      <c r="E10" s="269" t="n">
        <v>0.265</v>
      </c>
      <c r="F10" s="269" t="n">
        <v>1.19</v>
      </c>
      <c r="G10" s="257" t="n">
        <v>0.458789204959883</v>
      </c>
    </row>
    <row r="11" ht="19.5" customHeight="1" s="195">
      <c r="A11" s="258" t="inlineStr">
        <is>
          <t>Cerebrovascular Accident/Stroke (434)</t>
        </is>
      </c>
      <c r="B11" s="258" t="n">
        <v>1336</v>
      </c>
      <c r="C11" s="270" t="n">
        <v>0.398</v>
      </c>
      <c r="D11" s="270" t="n">
        <v>0.225</v>
      </c>
      <c r="E11" s="270" t="n">
        <v>0.124</v>
      </c>
      <c r="F11" s="270" t="n">
        <v>0.75</v>
      </c>
      <c r="G11" s="259" t="n">
        <v>0.456586826347305</v>
      </c>
    </row>
    <row r="12" ht="19.5" customHeight="1" s="195">
      <c r="A12" s="256" t="inlineStr">
        <is>
          <t>Coronary Artery Disease</t>
        </is>
      </c>
      <c r="B12" s="256" t="n">
        <v>4183</v>
      </c>
      <c r="C12" s="269" t="n">
        <v>0.363</v>
      </c>
      <c r="D12" s="269" t="n">
        <v>0.211</v>
      </c>
      <c r="E12" s="269" t="n">
        <v>0.068</v>
      </c>
      <c r="F12" s="269" t="n">
        <v>0.64</v>
      </c>
      <c r="G12" s="257" t="n">
        <v>0.422663160411188</v>
      </c>
    </row>
    <row r="13" ht="19.5" customHeight="1" s="195">
      <c r="A13" s="258" t="inlineStr">
        <is>
          <t>Respiratory Symptoms</t>
        </is>
      </c>
      <c r="B13" s="258" t="n">
        <v>2659</v>
      </c>
      <c r="C13" s="270" t="n">
        <v>0.468</v>
      </c>
      <c r="D13" s="270" t="n">
        <v>0.269</v>
      </c>
      <c r="E13" s="270" t="n">
        <v>0.215</v>
      </c>
      <c r="F13" s="270" t="n">
        <v>0.95</v>
      </c>
      <c r="G13" s="259" t="n">
        <v>0.410680707032719</v>
      </c>
    </row>
    <row r="14" ht="19.5" customHeight="1" s="195">
      <c r="A14" s="256" t="inlineStr">
        <is>
          <t>Acute MI</t>
        </is>
      </c>
      <c r="B14" s="256" t="n">
        <v>2382</v>
      </c>
      <c r="C14" s="269" t="n">
        <v>0.347</v>
      </c>
      <c r="D14" s="269" t="n">
        <v>0.249</v>
      </c>
      <c r="E14" s="269" t="n">
        <v>0.081</v>
      </c>
      <c r="F14" s="269" t="n">
        <v>0.68</v>
      </c>
      <c r="G14" s="257" t="n">
        <v>0.403022670025189</v>
      </c>
    </row>
    <row r="15" ht="19.5" customHeight="1" s="195">
      <c r="A15" s="258" t="inlineStr">
        <is>
          <t>Osteoarthritis</t>
        </is>
      </c>
      <c r="B15" s="258" t="n">
        <v>1426</v>
      </c>
      <c r="C15" s="270" t="n">
        <v>0.155</v>
      </c>
      <c r="D15" s="270" t="n">
        <v>0.442</v>
      </c>
      <c r="E15" s="270" t="n">
        <v>0.067</v>
      </c>
      <c r="F15" s="270" t="n">
        <v>0.66</v>
      </c>
      <c r="G15" s="259" t="n">
        <v>0.359046283309958</v>
      </c>
    </row>
    <row r="17" ht="54.75" customHeight="1" s="195">
      <c r="A17" s="263" t="n"/>
    </row>
  </sheetData>
  <mergeCells count="3">
    <mergeCell ref="A2:F2"/>
    <mergeCell ref="A1:F1"/>
    <mergeCell ref="A17:F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94" min="1" max="1"/>
    <col width="15" customWidth="1" style="194" min="2" max="2"/>
    <col width="19" customWidth="1" style="194" min="3" max="5"/>
    <col width="28" customWidth="1" style="195" min="4" max="4"/>
    <col width="29" customWidth="1" style="195" min="5" max="5"/>
    <col width="19" customWidth="1" style="194" min="6" max="6"/>
    <col width="48" customWidth="1" style="194" min="7" max="7"/>
  </cols>
  <sheetData>
    <row r="1" ht="27.75" customHeight="1" s="195">
      <c r="A1" s="233" t="inlineStr">
        <is>
          <t>MQ4 — Medication Prescribing Patterns by Medical Specialty</t>
        </is>
      </c>
    </row>
    <row r="2" ht="18" customHeight="1" s="195">
      <c r="A2" s="254" t="inlineStr">
        <is>
          <t>Comparing total medications, active drug indicators, and readmission rates across specialties</t>
        </is>
      </c>
    </row>
    <row r="3" ht="21.75" customHeight="1" s="195">
      <c r="A3" s="255" t="inlineStr">
        <is>
          <t>Medical Specialty</t>
        </is>
      </c>
      <c r="B3" s="255" t="inlineStr">
        <is>
          <t>Patient Count</t>
        </is>
      </c>
      <c r="C3" s="255" t="inlineStr">
        <is>
          <t>Avg Total Meds</t>
        </is>
      </c>
      <c r="D3" s="255" t="inlineStr">
        <is>
          <t>Avg Active Drug Indicators</t>
        </is>
      </c>
      <c r="E3" s="255" t="inlineStr">
        <is>
          <t>Avg LOS (Days)</t>
        </is>
      </c>
      <c r="F3" s="255" t="inlineStr">
        <is>
          <t>Readmission Rate</t>
        </is>
      </c>
    </row>
    <row r="4" ht="19.5" customHeight="1" s="195">
      <c r="A4" s="256" t="inlineStr">
        <is>
          <t>Nephrology</t>
        </is>
      </c>
      <c r="B4" s="256" t="n">
        <v>1098</v>
      </c>
      <c r="C4" s="269" t="n">
        <v>17.5</v>
      </c>
      <c r="D4" s="269" t="n">
        <v>0.89</v>
      </c>
      <c r="E4" s="269" t="n">
        <v>4.79</v>
      </c>
      <c r="F4" s="260" t="n">
        <v>0.551001821493625</v>
      </c>
    </row>
    <row r="5" ht="19.5" customHeight="1" s="195">
      <c r="A5" s="258" t="inlineStr">
        <is>
          <t>Emergency/Trauma</t>
        </is>
      </c>
      <c r="B5" s="258" t="n">
        <v>4986</v>
      </c>
      <c r="C5" s="270" t="n">
        <v>14.2</v>
      </c>
      <c r="D5" s="270" t="n">
        <v>1.35</v>
      </c>
      <c r="E5" s="270" t="n">
        <v>4.32</v>
      </c>
      <c r="F5" s="261" t="n">
        <v>0.502005615724027</v>
      </c>
    </row>
    <row r="6" ht="19.5" customHeight="1" s="195">
      <c r="A6" s="256" t="inlineStr">
        <is>
          <t>Family/GeneralPractice</t>
        </is>
      </c>
      <c r="B6" s="256" t="n">
        <v>4924</v>
      </c>
      <c r="C6" s="269" t="n">
        <v>14.4</v>
      </c>
      <c r="D6" s="269" t="n">
        <v>1.2</v>
      </c>
      <c r="E6" s="269" t="n">
        <v>4.44</v>
      </c>
      <c r="F6" s="257" t="n">
        <v>0.479894394800975</v>
      </c>
    </row>
    <row r="7" ht="19.5" customHeight="1" s="195">
      <c r="A7" s="258" t="inlineStr">
        <is>
          <t>InternalMedicine</t>
        </is>
      </c>
      <c r="B7" s="258" t="n">
        <v>9460</v>
      </c>
      <c r="C7" s="270" t="n">
        <v>14.7</v>
      </c>
      <c r="D7" s="270" t="n">
        <v>1.18</v>
      </c>
      <c r="E7" s="270" t="n">
        <v>4.57</v>
      </c>
      <c r="F7" s="259" t="n">
        <v>0.442177589852008</v>
      </c>
    </row>
    <row r="8" ht="19.5" customHeight="1" s="195">
      <c r="A8" s="256" t="inlineStr">
        <is>
          <t>Radiologist</t>
        </is>
      </c>
      <c r="B8" s="256" t="n">
        <v>767</v>
      </c>
      <c r="C8" s="269" t="n">
        <v>19</v>
      </c>
      <c r="D8" s="269" t="n">
        <v>1.27</v>
      </c>
      <c r="E8" s="269" t="n">
        <v>3.49</v>
      </c>
      <c r="F8" s="257" t="n">
        <v>0.441981747066493</v>
      </c>
    </row>
    <row r="9" ht="19.5" customHeight="1" s="195">
      <c r="A9" s="258" t="inlineStr">
        <is>
          <t>Surgery-General</t>
        </is>
      </c>
      <c r="B9" s="258" t="n">
        <v>2067</v>
      </c>
      <c r="C9" s="270" t="n">
        <v>16.7</v>
      </c>
      <c r="D9" s="270" t="n">
        <v>1.12</v>
      </c>
      <c r="E9" s="270" t="n">
        <v>4.52</v>
      </c>
      <c r="F9" s="259" t="n">
        <v>0.434446057087567</v>
      </c>
    </row>
    <row r="10" ht="19.5" customHeight="1" s="195">
      <c r="A10" s="256" t="inlineStr">
        <is>
          <t>Cardiology</t>
        </is>
      </c>
      <c r="B10" s="256" t="n">
        <v>3434</v>
      </c>
      <c r="C10" s="269" t="n">
        <v>17.1</v>
      </c>
      <c r="D10" s="269" t="n">
        <v>1.14</v>
      </c>
      <c r="E10" s="269" t="n">
        <v>3.6</v>
      </c>
      <c r="F10" s="257" t="n">
        <v>0.433605125218404</v>
      </c>
    </row>
    <row r="11" ht="19.5" customHeight="1" s="195">
      <c r="A11" s="258" t="inlineStr">
        <is>
          <t>Psychiatry</t>
        </is>
      </c>
      <c r="B11" s="258" t="n">
        <v>602</v>
      </c>
      <c r="C11" s="270" t="n">
        <v>11.8</v>
      </c>
      <c r="D11" s="270" t="n">
        <v>1.23</v>
      </c>
      <c r="E11" s="270" t="n">
        <v>6.64</v>
      </c>
      <c r="F11" s="259" t="n">
        <v>0.400332225913621</v>
      </c>
    </row>
    <row r="12" ht="19.5" customHeight="1" s="195">
      <c r="A12" s="256" t="inlineStr">
        <is>
          <t>Orthopedics</t>
        </is>
      </c>
      <c r="B12" s="256" t="n">
        <v>912</v>
      </c>
      <c r="C12" s="269" t="n">
        <v>20.8</v>
      </c>
      <c r="D12" s="269" t="n">
        <v>1.43</v>
      </c>
      <c r="E12" s="269" t="n">
        <v>3.97</v>
      </c>
      <c r="F12" s="257" t="n">
        <v>0.334429824561404</v>
      </c>
    </row>
    <row r="13" ht="19.5" customHeight="1" s="195">
      <c r="A13" s="258" t="inlineStr">
        <is>
          <t>Orthopedics-Reconstructive</t>
        </is>
      </c>
      <c r="B13" s="258" t="n">
        <v>812</v>
      </c>
      <c r="C13" s="270" t="n">
        <v>20.3</v>
      </c>
      <c r="D13" s="270" t="n">
        <v>1.3</v>
      </c>
      <c r="E13" s="270" t="n">
        <v>3.95</v>
      </c>
      <c r="F13" s="259" t="n">
        <v>0.301724137931035</v>
      </c>
    </row>
    <row r="14" ht="9.75" customHeight="1" s="195"/>
    <row r="15" ht="21.75" customHeight="1" s="195">
      <c r="A15" s="205" t="n"/>
    </row>
    <row r="16" ht="21.75" customHeight="1" s="195">
      <c r="A16" s="255" t="inlineStr">
        <is>
          <t>Specialty (Highest Meds)</t>
        </is>
      </c>
      <c r="B16" s="255" t="inlineStr">
        <is>
          <t>Avg Meds</t>
        </is>
      </c>
      <c r="C16" s="255" t="inlineStr">
        <is>
          <t>Readmit Rate</t>
        </is>
      </c>
      <c r="D16" s="255" t="n"/>
      <c r="E16" s="255" t="inlineStr">
        <is>
          <t>Specialty (Highest Readmit)</t>
        </is>
      </c>
    </row>
    <row r="17" ht="19.5" customHeight="1" s="195">
      <c r="A17" s="258" t="inlineStr">
        <is>
          <t>Orthopedics</t>
        </is>
      </c>
      <c r="B17" s="258" t="n">
        <v>20.8</v>
      </c>
      <c r="C17" s="259" t="n">
        <v>0.334429824561404</v>
      </c>
      <c r="D17" s="258" t="n"/>
      <c r="E17" s="258" t="inlineStr">
        <is>
          <t>Nephrology</t>
        </is>
      </c>
    </row>
    <row r="18" ht="19.5" customHeight="1" s="195">
      <c r="A18" s="256" t="inlineStr">
        <is>
          <t>Orthopedics-Reconstructive</t>
        </is>
      </c>
      <c r="B18" s="256" t="n">
        <v>20.3</v>
      </c>
      <c r="C18" s="257" t="n">
        <v>0.301724137931035</v>
      </c>
      <c r="D18" s="256" t="n"/>
      <c r="E18" s="256" t="inlineStr">
        <is>
          <t>Emergency/Trauma</t>
        </is>
      </c>
    </row>
    <row r="19" ht="19.5" customHeight="1" s="195">
      <c r="A19" s="258" t="inlineStr">
        <is>
          <t>Radiologist</t>
        </is>
      </c>
      <c r="B19" s="258" t="n">
        <v>19</v>
      </c>
      <c r="C19" s="259" t="n">
        <v>0.441981747066493</v>
      </c>
      <c r="D19" s="258" t="n"/>
      <c r="E19" s="258" t="inlineStr">
        <is>
          <t>Family/GeneralPractice</t>
        </is>
      </c>
    </row>
    <row r="21" ht="60" customHeight="1" s="195">
      <c r="A21" s="263" t="n"/>
    </row>
  </sheetData>
  <mergeCells count="4">
    <mergeCell ref="A2:E2"/>
    <mergeCell ref="A15:E15"/>
    <mergeCell ref="A1:E1"/>
    <mergeCell ref="A21:E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94" min="1" max="1"/>
    <col width="15" customWidth="1" style="194" min="2" max="5"/>
    <col width="19" customWidth="1" style="195" min="3" max="3"/>
    <col width="17" customWidth="1" style="195" min="4" max="4"/>
    <col width="26" customWidth="1" style="195" min="5" max="5"/>
    <col width="3" customWidth="1" style="194" min="6" max="6"/>
    <col width="46" customWidth="1" style="194" min="7" max="7"/>
  </cols>
  <sheetData>
    <row r="1" ht="27.75" customHeight="1" s="195">
      <c r="A1" s="233" t="inlineStr">
        <is>
          <t>MQ5 — Diabetic Medication Effectiveness on Readmission Prevention</t>
        </is>
      </c>
    </row>
    <row r="2" ht="18" customHeight="1" s="195">
      <c r="A2" s="394" t="n"/>
    </row>
    <row r="3" ht="19.5" customHeight="1" s="195">
      <c r="A3" s="283" t="inlineStr">
        <is>
          <t>Diabetic Patients (On Medication): 51,205  |  Non-Diabetic / No Diabetic Med: 15,382</t>
        </is>
      </c>
      <c r="B3" s="272" t="n"/>
      <c r="C3" s="272" t="n"/>
      <c r="D3" s="272" t="n"/>
      <c r="E3" s="273" t="n"/>
    </row>
    <row r="4" ht="21.75" customHeight="1" s="195">
      <c r="A4" s="205" t="inlineStr">
        <is>
          <t>Readmission by Medication Change Status (Diabetic Patients Only)</t>
        </is>
      </c>
    </row>
    <row r="5" ht="21.75" customHeight="1" s="195">
      <c r="A5" s="255" t="inlineStr">
        <is>
          <t>Medication Change Status</t>
        </is>
      </c>
      <c r="B5" s="255" t="inlineStr">
        <is>
          <t>Patient Count</t>
        </is>
      </c>
      <c r="C5" s="255" t="inlineStr">
        <is>
          <t>Readmission Rate</t>
        </is>
      </c>
      <c r="D5" s="255" t="inlineStr">
        <is>
          <t>Avg Medications</t>
        </is>
      </c>
      <c r="E5" s="255" t="inlineStr">
        <is>
          <t>Avg LOS (Days)</t>
        </is>
      </c>
    </row>
    <row r="6" ht="19.5" customHeight="1" s="195">
      <c r="A6" s="256" t="inlineStr">
        <is>
          <t>Medication Changed</t>
        </is>
      </c>
      <c r="B6" s="256" t="n">
        <v>30693</v>
      </c>
      <c r="C6" s="260" t="n">
        <v>0.486202065617568</v>
      </c>
      <c r="D6" s="269" t="n">
        <v>18.2</v>
      </c>
      <c r="E6" s="269" t="n">
        <v>4.77</v>
      </c>
    </row>
    <row r="7" ht="19.5" customHeight="1" s="195">
      <c r="A7" s="258" t="inlineStr">
        <is>
          <t>No Change</t>
        </is>
      </c>
      <c r="B7" s="258" t="n">
        <v>20512</v>
      </c>
      <c r="C7" s="259" t="n">
        <v>0.469773790951638</v>
      </c>
      <c r="D7" s="270" t="n">
        <v>14.9</v>
      </c>
      <c r="E7" s="270" t="n">
        <v>4.11</v>
      </c>
    </row>
    <row r="9" ht="9.75" customHeight="1" s="195"/>
    <row r="10" ht="21.75" customHeight="1" s="195">
      <c r="A10" s="205" t="inlineStr">
        <is>
          <t>Readmission by Medication Volume — Diabetic Patients</t>
        </is>
      </c>
    </row>
    <row r="11" ht="21.75" customHeight="1" s="195">
      <c r="A11" s="255" t="inlineStr">
        <is>
          <t>Medication Volume Tier</t>
        </is>
      </c>
      <c r="B11" s="255" t="inlineStr">
        <is>
          <t>Patient Count</t>
        </is>
      </c>
      <c r="C11" s="255" t="inlineStr">
        <is>
          <t>Readmission Rate</t>
        </is>
      </c>
      <c r="D11" s="255" t="inlineStr">
        <is>
          <t>Avg LOS (Days)</t>
        </is>
      </c>
      <c r="E11" s="255" t="inlineStr">
        <is>
          <t>vs Overall Diabetic Rate</t>
        </is>
      </c>
    </row>
    <row r="12" ht="19.5" customHeight="1" s="195">
      <c r="A12" s="256" t="inlineStr">
        <is>
          <t>Low (1–10)</t>
        </is>
      </c>
      <c r="B12" s="256" t="n">
        <v>10792</v>
      </c>
      <c r="C12" s="257" t="n">
        <v>0.419384729429207</v>
      </c>
      <c r="D12" s="269" t="n">
        <v>2.86</v>
      </c>
      <c r="E12" s="285" t="n">
        <v>-0.0602364013197435</v>
      </c>
    </row>
    <row r="13" ht="19.5" customHeight="1" s="195">
      <c r="A13" s="258" t="inlineStr">
        <is>
          <t>Medium (11–20)</t>
        </is>
      </c>
      <c r="B13" s="258" t="n">
        <v>27001</v>
      </c>
      <c r="C13" s="259" t="n">
        <v>0.492463242102144</v>
      </c>
      <c r="D13" s="270" t="n">
        <v>4.2</v>
      </c>
      <c r="E13" s="286" t="n">
        <v>0.0128421113531941</v>
      </c>
    </row>
    <row r="14" ht="19.5" customHeight="1" s="195">
      <c r="A14" s="256" t="inlineStr">
        <is>
          <t>High (21–30)</t>
        </is>
      </c>
      <c r="B14" s="256" t="n">
        <v>10296</v>
      </c>
      <c r="C14" s="260" t="n">
        <v>0.517579642579643</v>
      </c>
      <c r="D14" s="269" t="n">
        <v>5.95</v>
      </c>
      <c r="E14" s="287" t="n">
        <v>0.0379585118306923</v>
      </c>
    </row>
    <row r="15" ht="19.5" customHeight="1" s="195">
      <c r="A15" s="258" t="inlineStr">
        <is>
          <t>Very High (31+)</t>
        </is>
      </c>
      <c r="B15" s="258" t="n">
        <v>3116</v>
      </c>
      <c r="C15" s="259" t="n">
        <v>0.451540436456996</v>
      </c>
      <c r="D15" s="270" t="n">
        <v>8</v>
      </c>
      <c r="E15" s="284" t="n">
        <v>-0.0280806942919541</v>
      </c>
    </row>
    <row r="16" ht="15" customHeight="1" s="195">
      <c r="A16" s="288" t="inlineStr">
        <is>
          <t>Overall Diabetic Patient Baseline</t>
        </is>
      </c>
      <c r="B16" s="276" t="n"/>
      <c r="C16" s="289" t="n">
        <v>0.47962113074895</v>
      </c>
      <c r="D16" s="276" t="n"/>
      <c r="E16" s="276" t="n"/>
    </row>
    <row r="18" ht="60" customHeight="1" s="195">
      <c r="A18" s="263" t="n"/>
    </row>
  </sheetData>
  <mergeCells count="6">
    <mergeCell ref="A4:E4"/>
    <mergeCell ref="A2:E2"/>
    <mergeCell ref="A10:E10"/>
    <mergeCell ref="A1:E1"/>
    <mergeCell ref="A18:E18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K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94" min="1" max="1"/>
    <col width="20" customWidth="1" style="194" min="2" max="10"/>
    <col width="20" customWidth="1" style="195" min="3" max="3"/>
    <col width="19" customWidth="1" style="195" min="4" max="4"/>
    <col width="19" customWidth="1" style="195" min="5" max="5"/>
    <col width="19" customWidth="1" style="195" min="6" max="6"/>
    <col width="19" customWidth="1" style="195" min="7" max="7"/>
    <col width="19" customWidth="1" style="195" min="8" max="8"/>
    <col width="19" customWidth="1" style="195" min="9" max="9"/>
    <col width="19" customWidth="1" style="195" min="10" max="10"/>
    <col width="19" customWidth="1" style="194" min="11" max="11"/>
  </cols>
  <sheetData>
    <row r="1" ht="27.75" customHeight="1" s="195">
      <c r="A1" s="233" t="inlineStr">
        <is>
          <t>MQ6 — Race × Age Group Readmission Heatmap</t>
        </is>
      </c>
    </row>
    <row r="2" ht="18" customHeight="1" s="195">
      <c r="A2" s="254" t="inlineStr">
        <is>
          <t>Cross-tabulation of readmission rates: identifying demographic intersection risk zones</t>
        </is>
      </c>
    </row>
    <row r="3" ht="21.75" customHeight="1" s="195">
      <c r="A3" s="275" t="inlineStr">
        <is>
          <t>Race \ Age Group</t>
        </is>
      </c>
      <c r="B3" s="234" t="inlineStr">
        <is>
          <t>[0-10)</t>
        </is>
      </c>
      <c r="C3" s="234" t="inlineStr">
        <is>
          <t>[10-20)</t>
        </is>
      </c>
      <c r="D3" s="234" t="inlineStr">
        <is>
          <t>[20-30)</t>
        </is>
      </c>
      <c r="E3" s="234" t="inlineStr">
        <is>
          <t>[30-40)</t>
        </is>
      </c>
      <c r="F3" s="234" t="inlineStr">
        <is>
          <t>[40-50)</t>
        </is>
      </c>
      <c r="G3" s="234" t="inlineStr">
        <is>
          <t>[50-60)</t>
        </is>
      </c>
      <c r="H3" s="234" t="inlineStr">
        <is>
          <t>[60-70)</t>
        </is>
      </c>
      <c r="I3" s="234" t="inlineStr">
        <is>
          <t>[70-80)</t>
        </is>
      </c>
      <c r="J3" s="234" t="inlineStr">
        <is>
          <t>[80-90)</t>
        </is>
      </c>
      <c r="K3" s="234" t="inlineStr">
        <is>
          <t>[90-100)</t>
        </is>
      </c>
    </row>
    <row r="4" ht="24" customHeight="1" s="195">
      <c r="A4" s="275" t="inlineStr">
        <is>
          <t>Caucasian</t>
        </is>
      </c>
      <c r="B4" s="290" t="n">
        <v>0.214285714285714</v>
      </c>
      <c r="C4" s="291" t="n">
        <v>0.449056603773585</v>
      </c>
      <c r="D4" s="292" t="n">
        <v>0.471942446043166</v>
      </c>
      <c r="E4" s="291" t="n">
        <v>0.428254437869823</v>
      </c>
      <c r="F4" s="291" t="n">
        <v>0.44740083764474</v>
      </c>
      <c r="G4" s="292" t="n">
        <v>0.460620831195485</v>
      </c>
      <c r="H4" s="292" t="n">
        <v>0.470228458355819</v>
      </c>
      <c r="I4" s="293" t="n">
        <v>0.486300355450237</v>
      </c>
      <c r="J4" s="293" t="n">
        <v>0.488589757072247</v>
      </c>
      <c r="K4" s="294" t="n">
        <v>0.383858267716535</v>
      </c>
    </row>
    <row r="5" ht="24" customHeight="1" s="195">
      <c r="A5" s="275" t="inlineStr">
        <is>
          <t>AfricanAmerican</t>
        </is>
      </c>
      <c r="B5" s="290" t="n">
        <v>0.363636363636364</v>
      </c>
      <c r="C5" s="291" t="n">
        <v>0.425373134328358</v>
      </c>
      <c r="D5" s="292" t="n">
        <v>0.465564738292011</v>
      </c>
      <c r="E5" s="291" t="n">
        <v>0.424908424908425</v>
      </c>
      <c r="F5" s="292" t="n">
        <v>0.465430016863406</v>
      </c>
      <c r="G5" s="292" t="n">
        <v>0.463695183321352</v>
      </c>
      <c r="H5" s="292" t="n">
        <v>0.45547819714181</v>
      </c>
      <c r="I5" s="292" t="n">
        <v>0.47987117552335</v>
      </c>
      <c r="J5" s="292" t="n">
        <v>0.454967502321263</v>
      </c>
      <c r="K5" s="290" t="n">
        <v>0.359649122807018</v>
      </c>
    </row>
    <row r="6" ht="24" customHeight="1" s="195">
      <c r="A6" s="275" t="inlineStr">
        <is>
          <t>Hispanic</t>
        </is>
      </c>
      <c r="B6" s="295" t="inlineStr">
        <is>
          <t>n&lt;10</t>
        </is>
      </c>
      <c r="C6" s="290" t="n">
        <v>0.06666666666666669</v>
      </c>
      <c r="D6" s="290" t="n">
        <v>0.24390243902439</v>
      </c>
      <c r="E6" s="291" t="n">
        <v>0.425196850393701</v>
      </c>
      <c r="F6" s="291" t="n">
        <v>0.441964285714286</v>
      </c>
      <c r="G6" s="290" t="n">
        <v>0.298449612403101</v>
      </c>
      <c r="H6" s="292" t="n">
        <v>0.458620689655172</v>
      </c>
      <c r="I6" s="291" t="n">
        <v>0.428571428571429</v>
      </c>
      <c r="J6" s="293" t="n">
        <v>0.506172839506173</v>
      </c>
      <c r="K6" s="296" t="n">
        <v>0.529411764705882</v>
      </c>
    </row>
    <row r="7" ht="24" customHeight="1" s="195">
      <c r="A7" s="275" t="inlineStr">
        <is>
          <t>Asian</t>
        </is>
      </c>
      <c r="B7" s="295" t="inlineStr">
        <is>
          <t>n&lt;10</t>
        </is>
      </c>
      <c r="C7" s="295" t="inlineStr">
        <is>
          <t>n&lt;10</t>
        </is>
      </c>
      <c r="D7" s="295" t="inlineStr">
        <is>
          <t>n&lt;10</t>
        </is>
      </c>
      <c r="E7" s="290" t="n">
        <v>0.352941176470588</v>
      </c>
      <c r="F7" s="290" t="n">
        <v>0.178571428571429</v>
      </c>
      <c r="G7" s="290" t="n">
        <v>0.375</v>
      </c>
      <c r="H7" s="291" t="n">
        <v>0.441860465116279</v>
      </c>
      <c r="I7" s="292" t="n">
        <v>0.46551724137931</v>
      </c>
      <c r="J7" s="294" t="n">
        <v>0.4</v>
      </c>
      <c r="K7" s="295" t="inlineStr">
        <is>
          <t>n&lt;10</t>
        </is>
      </c>
    </row>
    <row r="8" ht="24" customHeight="1" s="195">
      <c r="A8" s="275" t="inlineStr">
        <is>
          <t>Other</t>
        </is>
      </c>
      <c r="B8" s="295" t="inlineStr">
        <is>
          <t>n&lt;10</t>
        </is>
      </c>
      <c r="C8" s="295" t="inlineStr">
        <is>
          <t>n&lt;10</t>
        </is>
      </c>
      <c r="D8" s="290" t="n">
        <v>0.32</v>
      </c>
      <c r="E8" s="294" t="n">
        <v>0.387755102040816</v>
      </c>
      <c r="F8" s="290" t="n">
        <v>0.336734693877551</v>
      </c>
      <c r="G8" s="294" t="n">
        <v>0.384615384615385</v>
      </c>
      <c r="H8" s="291" t="n">
        <v>0.427609427609428</v>
      </c>
      <c r="I8" s="291" t="n">
        <v>0.433884297520661</v>
      </c>
      <c r="J8" s="294" t="n">
        <v>0.404255319148936</v>
      </c>
      <c r="K8" s="292" t="n">
        <v>0.466666666666667</v>
      </c>
    </row>
    <row r="10" ht="9.75" customHeight="1" s="195"/>
    <row r="11" ht="21.75" customHeight="1" s="195">
      <c r="A11" s="205" t="inlineStr">
        <is>
          <t>Color Legend — Readmission Rate Bands</t>
        </is>
      </c>
    </row>
    <row r="12" ht="21.75" customHeight="1" s="195">
      <c r="A12" s="255" t="inlineStr">
        <is>
          <t>Rate Range</t>
        </is>
      </c>
      <c r="B12" s="255" t="inlineStr">
        <is>
          <t>Risk Level</t>
        </is>
      </c>
      <c r="C12" s="255" t="n"/>
    </row>
    <row r="13" ht="23.25" customHeight="1" s="195">
      <c r="A13" s="297" t="inlineStr">
        <is>
          <t>≥ 52%</t>
        </is>
      </c>
      <c r="B13" s="298" t="inlineStr">
        <is>
          <t>Very High Risk</t>
        </is>
      </c>
    </row>
    <row r="14" ht="15" customHeight="1" s="195">
      <c r="A14" s="299" t="inlineStr">
        <is>
          <t>48–51%</t>
        </is>
      </c>
      <c r="B14" s="298" t="inlineStr">
        <is>
          <t>High Risk</t>
        </is>
      </c>
    </row>
    <row r="15" ht="23.25" customHeight="1" s="195">
      <c r="A15" s="300" t="inlineStr">
        <is>
          <t>45–47%</t>
        </is>
      </c>
      <c r="B15" s="298" t="inlineStr">
        <is>
          <t>Moderate-High Risk</t>
        </is>
      </c>
    </row>
    <row r="16" ht="23.25" customHeight="1" s="195">
      <c r="A16" s="301" t="inlineStr">
        <is>
          <t>42–44%</t>
        </is>
      </c>
      <c r="B16" s="298" t="inlineStr">
        <is>
          <t>Moderate Risk</t>
        </is>
      </c>
    </row>
    <row r="17" ht="34.5" customHeight="1" s="195">
      <c r="A17" s="302" t="inlineStr">
        <is>
          <t>38–41%</t>
        </is>
      </c>
      <c r="B17" s="298" t="inlineStr">
        <is>
          <t>Low-Moderate Risk</t>
        </is>
      </c>
    </row>
    <row r="18" ht="15" customHeight="1" s="195">
      <c r="A18" s="303" t="inlineStr">
        <is>
          <t>&lt; 38%</t>
        </is>
      </c>
      <c r="B18" s="298" t="inlineStr">
        <is>
          <t>Low Risk</t>
        </is>
      </c>
    </row>
    <row r="20" ht="60" customHeight="1" s="195">
      <c r="A20" s="263" t="n"/>
    </row>
  </sheetData>
  <mergeCells count="4">
    <mergeCell ref="A1:I1"/>
    <mergeCell ref="A20:I20"/>
    <mergeCell ref="A2:I2"/>
    <mergeCell ref="A11:I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G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94" min="1" max="1"/>
    <col width="15" customWidth="1" style="194" min="2" max="2"/>
    <col width="22" customWidth="1" style="194" min="3" max="5"/>
    <col width="15" customWidth="1" style="195" min="4" max="4"/>
    <col width="19" customWidth="1" style="195" min="5" max="5"/>
    <col width="9" customWidth="1" style="194" min="6" max="6"/>
    <col width="17" customWidth="1" style="194" min="7" max="7"/>
  </cols>
  <sheetData>
    <row r="1" ht="27.75" customHeight="1" s="195">
      <c r="A1" s="233" t="inlineStr">
        <is>
          <t>MQ7 — Integrated Risk Profile: Combining Key Risk Factors</t>
        </is>
      </c>
    </row>
    <row r="2" ht="18" customHeight="1" s="195">
      <c r="A2" s="254" t="inlineStr">
        <is>
          <t>Multi-factor analysis combining comorbidity, diabetes, age group, and prior hospitalization</t>
        </is>
      </c>
    </row>
    <row r="3" ht="21.75" customHeight="1" s="195">
      <c r="A3" s="255" t="inlineStr">
        <is>
          <t>Age Group</t>
        </is>
      </c>
      <c r="B3" s="255" t="inlineStr">
        <is>
          <t>Diabetic Med</t>
        </is>
      </c>
      <c r="C3" s="255" t="inlineStr">
        <is>
          <t>Prior Inpatient Stay</t>
        </is>
      </c>
      <c r="D3" s="255" t="inlineStr">
        <is>
          <t>Patient Count</t>
        </is>
      </c>
      <c r="E3" s="255" t="inlineStr">
        <is>
          <t>Readmission Rate</t>
        </is>
      </c>
      <c r="F3" s="255" t="inlineStr">
        <is>
          <t>Avg LOS</t>
        </is>
      </c>
      <c r="G3" s="255" t="inlineStr">
        <is>
          <t>Avg Medications</t>
        </is>
      </c>
    </row>
    <row r="4" ht="19.5" customHeight="1" s="195">
      <c r="A4" s="256" t="inlineStr">
        <is>
          <t>Young (&lt;40)</t>
        </is>
      </c>
      <c r="B4" s="256" t="inlineStr">
        <is>
          <t>Diabetic</t>
        </is>
      </c>
      <c r="C4" s="256" t="inlineStr">
        <is>
          <t>Yes</t>
        </is>
      </c>
      <c r="D4" s="256" t="n">
        <v>1077</v>
      </c>
      <c r="E4" s="260" t="n">
        <v>0.6935933147632311</v>
      </c>
      <c r="F4" s="269" t="n">
        <v>4.09</v>
      </c>
      <c r="G4" s="269" t="n">
        <v>14</v>
      </c>
    </row>
    <row r="5" ht="19.5" customHeight="1" s="195">
      <c r="A5" s="258" t="inlineStr">
        <is>
          <t>Young (&lt;40)</t>
        </is>
      </c>
      <c r="B5" s="258" t="inlineStr">
        <is>
          <t>Non-Diabetic</t>
        </is>
      </c>
      <c r="C5" s="258" t="inlineStr">
        <is>
          <t>Yes</t>
        </is>
      </c>
      <c r="D5" s="258" t="n">
        <v>219</v>
      </c>
      <c r="E5" s="261" t="n">
        <v>0.6529680365296801</v>
      </c>
      <c r="F5" s="270" t="n">
        <v>3.77</v>
      </c>
      <c r="G5" s="270" t="n">
        <v>12.4</v>
      </c>
    </row>
    <row r="6" ht="19.5" customHeight="1" s="195">
      <c r="A6" s="256" t="inlineStr">
        <is>
          <t>Middle-Aged (40-69)</t>
        </is>
      </c>
      <c r="B6" s="256" t="inlineStr">
        <is>
          <t>Diabetic</t>
        </is>
      </c>
      <c r="C6" s="256" t="inlineStr">
        <is>
          <t>Yes</t>
        </is>
      </c>
      <c r="D6" s="256" t="n">
        <v>8483</v>
      </c>
      <c r="E6" s="260" t="n">
        <v>0.636685134975834</v>
      </c>
      <c r="F6" s="269" t="n">
        <v>4.74</v>
      </c>
      <c r="G6" s="269" t="n">
        <v>18.4</v>
      </c>
    </row>
    <row r="7" ht="19.5" customHeight="1" s="195">
      <c r="A7" s="258" t="inlineStr">
        <is>
          <t>Middle-Aged (40-69)</t>
        </is>
      </c>
      <c r="B7" s="258" t="inlineStr">
        <is>
          <t>Non-Diabetic</t>
        </is>
      </c>
      <c r="C7" s="258" t="inlineStr">
        <is>
          <t>Yes</t>
        </is>
      </c>
      <c r="D7" s="258" t="n">
        <v>2180</v>
      </c>
      <c r="E7" s="261" t="n">
        <v>0.618807339449541</v>
      </c>
      <c r="F7" s="270" t="n">
        <v>4.45</v>
      </c>
      <c r="G7" s="270" t="n">
        <v>14.7</v>
      </c>
    </row>
    <row r="8" ht="19.5" customHeight="1" s="195">
      <c r="A8" s="256" t="inlineStr">
        <is>
          <t>Elderly (70+)</t>
        </is>
      </c>
      <c r="B8" s="256" t="inlineStr">
        <is>
          <t>Diabetic</t>
        </is>
      </c>
      <c r="C8" s="256" t="inlineStr">
        <is>
          <t>Yes</t>
        </is>
      </c>
      <c r="D8" s="256" t="n">
        <v>8196</v>
      </c>
      <c r="E8" s="257" t="n">
        <v>0.587359687652514</v>
      </c>
      <c r="F8" s="269" t="n">
        <v>5.03</v>
      </c>
      <c r="G8" s="269" t="n">
        <v>17.1</v>
      </c>
    </row>
    <row r="9" ht="19.5" customHeight="1" s="195">
      <c r="A9" s="258" t="inlineStr">
        <is>
          <t>Elderly (70+)</t>
        </is>
      </c>
      <c r="B9" s="258" t="inlineStr">
        <is>
          <t>Non-Diabetic</t>
        </is>
      </c>
      <c r="C9" s="258" t="inlineStr">
        <is>
          <t>Yes</t>
        </is>
      </c>
      <c r="D9" s="258" t="n">
        <v>2286</v>
      </c>
      <c r="E9" s="259" t="n">
        <v>0.543744531933508</v>
      </c>
      <c r="F9" s="270" t="n">
        <v>4.71</v>
      </c>
      <c r="G9" s="270" t="n">
        <v>13.6</v>
      </c>
    </row>
    <row r="10" ht="19.5" customHeight="1" s="195">
      <c r="A10" s="256" t="inlineStr">
        <is>
          <t>Elderly (70+)</t>
        </is>
      </c>
      <c r="B10" s="256" t="inlineStr">
        <is>
          <t>Diabetic</t>
        </is>
      </c>
      <c r="C10" s="256" t="inlineStr">
        <is>
          <t>No</t>
        </is>
      </c>
      <c r="D10" s="256" t="n">
        <v>14575</v>
      </c>
      <c r="E10" s="257" t="n">
        <v>0.444391080617496</v>
      </c>
      <c r="F10" s="269" t="n">
        <v>4.68</v>
      </c>
      <c r="G10" s="269" t="n">
        <v>16.5</v>
      </c>
    </row>
    <row r="11" ht="19.5" customHeight="1" s="195">
      <c r="A11" s="258" t="inlineStr">
        <is>
          <t>Middle-Aged (40-69)</t>
        </is>
      </c>
      <c r="B11" s="258" t="inlineStr">
        <is>
          <t>Diabetic</t>
        </is>
      </c>
      <c r="C11" s="258" t="inlineStr">
        <is>
          <t>No</t>
        </is>
      </c>
      <c r="D11" s="258" t="n">
        <v>16788</v>
      </c>
      <c r="E11" s="259" t="n">
        <v>0.384381701215154</v>
      </c>
      <c r="F11" s="270" t="n">
        <v>4.13</v>
      </c>
      <c r="G11" s="270" t="n">
        <v>17.1</v>
      </c>
    </row>
    <row r="12" ht="19.5" customHeight="1" s="195">
      <c r="A12" s="256" t="inlineStr">
        <is>
          <t>Elderly (70+)</t>
        </is>
      </c>
      <c r="B12" s="256" t="inlineStr">
        <is>
          <t>Non-Diabetic</t>
        </is>
      </c>
      <c r="C12" s="256" t="inlineStr">
        <is>
          <t>No</t>
        </is>
      </c>
      <c r="D12" s="256" t="n">
        <v>4887</v>
      </c>
      <c r="E12" s="257" t="n">
        <v>0.346020053202374</v>
      </c>
      <c r="F12" s="269" t="n">
        <v>4.15</v>
      </c>
      <c r="G12" s="269" t="n">
        <v>12.8</v>
      </c>
    </row>
    <row r="13" ht="19.5" customHeight="1" s="195">
      <c r="A13" s="258" t="inlineStr">
        <is>
          <t>Young (&lt;40)</t>
        </is>
      </c>
      <c r="B13" s="258" t="inlineStr">
        <is>
          <t>Diabetic</t>
        </is>
      </c>
      <c r="C13" s="258" t="inlineStr">
        <is>
          <t>No</t>
        </is>
      </c>
      <c r="D13" s="258" t="n">
        <v>2086</v>
      </c>
      <c r="E13" s="259" t="n">
        <v>0.319750719079578</v>
      </c>
      <c r="F13" s="270" t="n">
        <v>3.49</v>
      </c>
      <c r="G13" s="270" t="n">
        <v>12.3</v>
      </c>
    </row>
    <row r="14" ht="19.5" customHeight="1" s="195">
      <c r="A14" s="256" t="inlineStr">
        <is>
          <t>Middle-Aged (40-69)</t>
        </is>
      </c>
      <c r="B14" s="256" t="inlineStr">
        <is>
          <t>Non-Diabetic</t>
        </is>
      </c>
      <c r="C14" s="256" t="inlineStr">
        <is>
          <t>No</t>
        </is>
      </c>
      <c r="D14" s="256" t="n">
        <v>5096</v>
      </c>
      <c r="E14" s="257" t="n">
        <v>0.313971742543171</v>
      </c>
      <c r="F14" s="269" t="n">
        <v>3.6</v>
      </c>
      <c r="G14" s="269" t="n">
        <v>13.2</v>
      </c>
    </row>
    <row r="15" ht="19.5" customHeight="1" s="195">
      <c r="A15" s="258" t="inlineStr">
        <is>
          <t>Young (&lt;40)</t>
        </is>
      </c>
      <c r="B15" s="258" t="inlineStr">
        <is>
          <t>Non-Diabetic</t>
        </is>
      </c>
      <c r="C15" s="258" t="inlineStr">
        <is>
          <t>No</t>
        </is>
      </c>
      <c r="D15" s="258" t="n">
        <v>714</v>
      </c>
      <c r="E15" s="259" t="n">
        <v>0.250700280112045</v>
      </c>
      <c r="F15" s="270" t="n">
        <v>3.2</v>
      </c>
      <c r="G15" s="270" t="n">
        <v>11</v>
      </c>
    </row>
    <row r="16" ht="9.75" customHeight="1" s="195"/>
    <row r="17" ht="21.75" customHeight="1" s="195">
      <c r="A17" s="205" t="inlineStr">
        <is>
          <t>🚨 Highest-Risk Patient Profiles (Top 5)</t>
        </is>
      </c>
    </row>
    <row r="18" ht="21.75" customHeight="1" s="195">
      <c r="A18" s="255" t="inlineStr">
        <is>
          <t>Profile</t>
        </is>
      </c>
      <c r="B18" s="255" t="inlineStr">
        <is>
          <t>Patient Count</t>
        </is>
      </c>
      <c r="C18" s="255" t="inlineStr">
        <is>
          <t>Readmission Rate</t>
        </is>
      </c>
      <c r="D18" s="255" t="inlineStr">
        <is>
          <t>Avg LOS</t>
        </is>
      </c>
      <c r="E18" s="255" t="inlineStr">
        <is>
          <t>Risk Level</t>
        </is>
      </c>
    </row>
    <row r="19" ht="19.5" customHeight="1" s="195">
      <c r="A19" s="258" t="inlineStr">
        <is>
          <t>Young (&lt;40) | Diabetic | Prior Inpatient: Yes</t>
        </is>
      </c>
      <c r="B19" s="258" t="n">
        <v>1077</v>
      </c>
      <c r="C19" s="261" t="n">
        <v>0.6935933147632311</v>
      </c>
      <c r="D19" s="270" t="n">
        <v>4.09</v>
      </c>
      <c r="E19" s="297" t="inlineStr">
        <is>
          <t>CRITICAL</t>
        </is>
      </c>
    </row>
    <row r="20" ht="19.5" customHeight="1" s="195">
      <c r="A20" s="256" t="inlineStr">
        <is>
          <t>Young (&lt;40) | Non-Diabetic | Prior Inpatient: Yes</t>
        </is>
      </c>
      <c r="B20" s="256" t="n">
        <v>219</v>
      </c>
      <c r="C20" s="260" t="n">
        <v>0.6529680365296801</v>
      </c>
      <c r="D20" s="269" t="n">
        <v>3.77</v>
      </c>
      <c r="E20" s="297" t="inlineStr">
        <is>
          <t>CRITICAL</t>
        </is>
      </c>
    </row>
    <row r="21" ht="19.5" customHeight="1" s="195">
      <c r="A21" s="258" t="inlineStr">
        <is>
          <t>Middle-Aged (40-69) | Diabetic | Prior Inpatient: Yes</t>
        </is>
      </c>
      <c r="B21" s="258" t="n">
        <v>8483</v>
      </c>
      <c r="C21" s="261" t="n">
        <v>0.636685134975834</v>
      </c>
      <c r="D21" s="270" t="n">
        <v>4.74</v>
      </c>
      <c r="E21" s="297" t="inlineStr">
        <is>
          <t>CRITICAL</t>
        </is>
      </c>
    </row>
    <row r="22" ht="19.5" customHeight="1" s="195">
      <c r="A22" s="256" t="inlineStr">
        <is>
          <t>Middle-Aged (40-69) | Non-Diabetic | Prior Inpatient: Yes</t>
        </is>
      </c>
      <c r="B22" s="256" t="n">
        <v>2180</v>
      </c>
      <c r="C22" s="260" t="n">
        <v>0.618807339449541</v>
      </c>
      <c r="D22" s="269" t="n">
        <v>4.45</v>
      </c>
      <c r="E22" s="297" t="inlineStr">
        <is>
          <t>CRITICAL</t>
        </is>
      </c>
    </row>
    <row r="23" ht="19.5" customHeight="1" s="195">
      <c r="A23" s="258" t="inlineStr">
        <is>
          <t>Elderly (70+) | Diabetic | Prior Inpatient: Yes</t>
        </is>
      </c>
      <c r="B23" s="258" t="n">
        <v>8196</v>
      </c>
      <c r="C23" s="261" t="n">
        <v>0.587359687652514</v>
      </c>
      <c r="D23" s="270" t="n">
        <v>5.03</v>
      </c>
      <c r="E23" s="304" t="inlineStr">
        <is>
          <t>HIGH</t>
        </is>
      </c>
    </row>
    <row r="25" ht="64.5" customHeight="1" s="195">
      <c r="A25" s="263" t="n"/>
    </row>
  </sheetData>
  <mergeCells count="4">
    <mergeCell ref="A2:E2"/>
    <mergeCell ref="A1:E1"/>
    <mergeCell ref="A25:E25"/>
    <mergeCell ref="A17:E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X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94" min="1" max="1"/>
    <col width="34" customWidth="1" style="194" min="2" max="5"/>
    <col width="48" customWidth="1" style="195" min="3" max="3"/>
    <col width="21" customWidth="1" style="195" min="4" max="4"/>
    <col width="60" customWidth="1" style="195" min="5" max="5"/>
    <col width="60" customWidth="1" style="194" min="6" max="6"/>
    <col width="8" customWidth="1" style="194" min="7" max="7"/>
    <col width="8" customWidth="1" style="194" min="8" max="8"/>
    <col width="8" customWidth="1" style="194" min="9" max="9"/>
    <col width="8" customWidth="1" style="195" min="10" max="10"/>
    <col width="8" customWidth="1" style="195" min="11" max="11"/>
    <col width="8" customWidth="1" style="195" min="12" max="12"/>
    <col width="8" customWidth="1" style="195" min="13" max="13"/>
    <col width="8" customWidth="1" style="195" min="14" max="14"/>
    <col width="8" customWidth="1" style="195" min="15" max="15"/>
    <col width="8" customWidth="1" style="195" min="16" max="16"/>
    <col width="8" customWidth="1" style="195" min="17" max="17"/>
    <col width="8" customWidth="1" style="195" min="18" max="18"/>
    <col width="8" customWidth="1" style="195" min="19" max="19"/>
    <col width="47" customWidth="1" style="195" min="20" max="20"/>
    <col width="18" customWidth="1" style="195" min="21" max="21"/>
    <col width="8" customWidth="1" style="195" min="22" max="22"/>
    <col width="8" customWidth="1" style="195" min="23" max="23"/>
    <col width="8" customWidth="1" style="195" min="24" max="24"/>
  </cols>
  <sheetData>
    <row r="1" ht="27.75" customHeight="1" s="195">
      <c r="A1" s="233" t="inlineStr">
        <is>
          <t>AQ1 — Predictive Risk Model for 30-Day Readmission</t>
        </is>
      </c>
      <c r="T1" s="194" t="inlineStr">
        <is>
          <t>Feature Importance (Standardised — ROC curve)</t>
        </is>
      </c>
    </row>
    <row r="2" ht="18" customHeight="1" s="195">
      <c r="A2" s="254" t="inlineStr">
        <is>
          <t>Logistic Regression classifier trained on 66,587 patients to identify high-risk cases at discharge</t>
        </is>
      </c>
      <c r="T2" s="194" t="inlineStr">
        <is>
          <t>Feature</t>
        </is>
      </c>
      <c r="U2" s="194" t="inlineStr">
        <is>
          <t>Std. Coefficient</t>
        </is>
      </c>
      <c r="W2" s="194" t="inlineStr">
        <is>
          <t>FPR</t>
        </is>
      </c>
      <c r="X2" s="194" t="inlineStr">
        <is>
          <t>TPR</t>
        </is>
      </c>
    </row>
    <row r="3" ht="19.5" customHeight="1" s="195">
      <c r="A3" s="283" t="inlineStr">
        <is>
          <t>Model: Logistic Regression  |  Training: 80% (53,269 pts)  |  Test: 20% (13,318 pts)  |  AUC-ROC: 0.652</t>
        </is>
      </c>
      <c r="B3" s="272" t="n"/>
      <c r="C3" s="272" t="n"/>
      <c r="D3" s="272" t="n"/>
      <c r="E3" s="273" t="n"/>
      <c r="T3" s="194" t="inlineStr">
        <is>
          <t>Prior Inpatient</t>
        </is>
      </c>
      <c r="U3" s="194" t="n">
        <v>0.3706</v>
      </c>
      <c r="W3" s="194" t="n">
        <v>0</v>
      </c>
      <c r="X3" s="194" t="n">
        <v>0</v>
      </c>
    </row>
    <row r="4" ht="21.75" customHeight="1" s="195">
      <c r="A4" s="205" t="inlineStr">
        <is>
          <t>Model Performance Metrics</t>
        </is>
      </c>
      <c r="T4" s="194" t="inlineStr">
        <is>
          <t>Diabetes Med</t>
        </is>
      </c>
      <c r="U4" s="194" t="n">
        <v>0.2617</v>
      </c>
      <c r="W4" s="194" t="n">
        <v>0.053</v>
      </c>
      <c r="X4" s="194" t="n">
        <v>0.159</v>
      </c>
    </row>
    <row r="5" ht="21.75" customHeight="1" s="195">
      <c r="A5" s="255" t="inlineStr">
        <is>
          <t>Metric</t>
        </is>
      </c>
      <c r="B5" s="255" t="inlineStr">
        <is>
          <t>Value</t>
        </is>
      </c>
      <c r="C5" s="255" t="n"/>
      <c r="D5" s="255" t="n"/>
      <c r="E5" s="255" t="inlineStr">
        <is>
          <t>Assessment</t>
        </is>
      </c>
      <c r="T5" s="194" t="inlineStr">
        <is>
          <t>Prior Emergency</t>
        </is>
      </c>
      <c r="U5" s="194" t="n">
        <v>0.2182</v>
      </c>
      <c r="W5" s="194" t="n">
        <v>0.116</v>
      </c>
      <c r="X5" s="194" t="n">
        <v>0.279</v>
      </c>
    </row>
    <row r="6" ht="19.5" customHeight="1" s="195">
      <c r="A6" s="256" t="inlineStr">
        <is>
          <t>AUC-ROC Score</t>
        </is>
      </c>
      <c r="B6" s="256" t="inlineStr">
        <is>
          <t>0.652</t>
        </is>
      </c>
      <c r="C6" s="256" t="inlineStr">
        <is>
          <t>Model discriminates 65% better than random</t>
        </is>
      </c>
      <c r="D6" s="256" t="inlineStr">
        <is>
          <t>&gt; 0.60 = Acceptable</t>
        </is>
      </c>
      <c r="E6" s="305" t="n"/>
      <c r="T6" s="194" t="inlineStr">
        <is>
          <t>Outpatient Visits</t>
        </is>
      </c>
      <c r="U6" s="194" t="n">
        <v>0.0828</v>
      </c>
      <c r="W6" s="194" t="n">
        <v>0.186</v>
      </c>
      <c r="X6" s="194" t="n">
        <v>0.383</v>
      </c>
    </row>
    <row r="7" ht="19.5" customHeight="1" s="195">
      <c r="A7" s="258" t="inlineStr">
        <is>
          <t>Accuracy</t>
        </is>
      </c>
      <c r="B7" s="258" t="inlineStr">
        <is>
          <t>61.6%</t>
        </is>
      </c>
      <c r="C7" s="258" t="inlineStr">
        <is>
          <t>Correctly classifies 62% of patients</t>
        </is>
      </c>
      <c r="D7" s="258" t="inlineStr">
        <is>
          <t>&gt; 60%</t>
        </is>
      </c>
      <c r="E7" s="306" t="n"/>
      <c r="T7" s="194" t="inlineStr">
        <is>
          <t>No. Diagnoses</t>
        </is>
      </c>
      <c r="U7" s="194" t="n">
        <v>0.0742</v>
      </c>
      <c r="W7" s="194" t="n">
        <v>0.268</v>
      </c>
      <c r="X7" s="194" t="n">
        <v>0.483</v>
      </c>
    </row>
    <row r="8" ht="19.5" customHeight="1" s="195">
      <c r="A8" s="256" t="inlineStr">
        <is>
          <t>Sensitivity (Recall)</t>
        </is>
      </c>
      <c r="B8" s="256" t="n">
        <v>0.3867</v>
      </c>
      <c r="C8" s="256" t="inlineStr">
        <is>
          <t>Correctly identifies 38.7% of readmissions</t>
        </is>
      </c>
      <c r="D8" s="256" t="inlineStr">
        <is>
          <t>&gt; 40% preferred</t>
        </is>
      </c>
      <c r="E8" s="307" t="inlineStr">
        <is>
          <t>Moderate</t>
        </is>
      </c>
      <c r="T8" s="194" t="inlineStr">
        <is>
          <t>Gender (F)</t>
        </is>
      </c>
      <c r="U8" s="194" t="n">
        <v>0.0303</v>
      </c>
      <c r="W8" s="194" t="n">
        <v>0.347</v>
      </c>
      <c r="X8" s="194" t="n">
        <v>0.573</v>
      </c>
    </row>
    <row r="9" ht="19.5" customHeight="1" s="195">
      <c r="A9" s="258" t="inlineStr">
        <is>
          <t>Specificity</t>
        </is>
      </c>
      <c r="B9" s="258" t="inlineStr">
        <is>
          <t>81.1%</t>
        </is>
      </c>
      <c r="C9" s="258" t="inlineStr">
        <is>
          <t>Correctly clears 81.1% of non-readmissions</t>
        </is>
      </c>
      <c r="D9" s="258" t="inlineStr">
        <is>
          <t>&gt; 70%</t>
        </is>
      </c>
      <c r="E9" s="306" t="n"/>
      <c r="T9" s="194" t="inlineStr">
        <is>
          <t>Age Group</t>
        </is>
      </c>
      <c r="U9" s="194" t="n">
        <v>0.0177</v>
      </c>
      <c r="W9" s="194" t="n">
        <v>0.443</v>
      </c>
      <c r="X9" s="194" t="n">
        <v>0.652</v>
      </c>
    </row>
    <row r="10" ht="19.5" customHeight="1" s="195">
      <c r="A10" s="256" t="inlineStr">
        <is>
          <t>Precision (PPV)</t>
        </is>
      </c>
      <c r="B10" s="256" t="inlineStr">
        <is>
          <t>63.6%</t>
        </is>
      </c>
      <c r="C10" s="256" t="n"/>
      <c r="D10" s="256" t="inlineStr">
        <is>
          <t>&gt; 60%</t>
        </is>
      </c>
      <c r="E10" s="305" t="n"/>
      <c r="T10" s="194" t="inlineStr">
        <is>
          <t>Days in Hospital</t>
        </is>
      </c>
      <c r="U10" s="194" t="n">
        <v>0.0132</v>
      </c>
      <c r="W10" s="194" t="n">
        <v>0.533</v>
      </c>
      <c r="X10" s="194" t="n">
        <v>0.732</v>
      </c>
    </row>
    <row r="11" ht="19.5" customHeight="1" s="195">
      <c r="A11" s="258" t="inlineStr">
        <is>
          <t>NPV</t>
        </is>
      </c>
      <c r="B11" s="258" t="inlineStr">
        <is>
          <t>60.9%</t>
        </is>
      </c>
      <c r="C11" s="258" t="inlineStr">
        <is>
          <t>60.9% of cleared patients truly not readmitted</t>
        </is>
      </c>
      <c r="D11" s="258" t="inlineStr">
        <is>
          <t>&gt; 60%</t>
        </is>
      </c>
      <c r="E11" s="306" t="n"/>
      <c r="W11" s="194" t="n">
        <v>0.637</v>
      </c>
      <c r="X11" s="194" t="n">
        <v>0.804</v>
      </c>
    </row>
    <row r="12" ht="19.5" customHeight="1" s="195">
      <c r="A12" s="256" t="inlineStr">
        <is>
          <t>Training Set Size</t>
        </is>
      </c>
      <c r="B12" s="256" t="inlineStr">
        <is>
          <t>53,269</t>
        </is>
      </c>
      <c r="C12" s="256" t="inlineStr">
        <is>
          <t>80% of total dataset</t>
        </is>
      </c>
      <c r="D12" s="256" t="inlineStr">
        <is>
          <t>Adequate</t>
        </is>
      </c>
      <c r="E12" s="305" t="n"/>
      <c r="W12" s="194" t="n">
        <v>0.74</v>
      </c>
      <c r="X12" s="194" t="n">
        <v>0.876</v>
      </c>
    </row>
    <row r="13" ht="19.5" customHeight="1" s="195">
      <c r="A13" s="258" t="inlineStr">
        <is>
          <t>Test Set Size</t>
        </is>
      </c>
      <c r="B13" s="258" t="inlineStr">
        <is>
          <t>13,318</t>
        </is>
      </c>
      <c r="C13" s="258" t="inlineStr">
        <is>
          <t>20% holdout for validation</t>
        </is>
      </c>
      <c r="D13" s="258" t="inlineStr">
        <is>
          <t>Standard</t>
        </is>
      </c>
      <c r="E13" s="306" t="n"/>
      <c r="W13" s="194" t="n">
        <v>0.869</v>
      </c>
      <c r="X13" s="194" t="n">
        <v>0.9360000000000001</v>
      </c>
    </row>
    <row r="14" ht="15" customHeight="1" s="195">
      <c r="W14" s="194" t="n">
        <v>1</v>
      </c>
      <c r="X14" s="194" t="n">
        <v>1</v>
      </c>
    </row>
    <row r="15" ht="21.75" customHeight="1" s="195">
      <c r="A15" s="205" t="inlineStr">
        <is>
          <t>Confusion Matrix — Test Set (n=13,318)</t>
        </is>
      </c>
    </row>
    <row r="16" ht="21.75" customHeight="1" s="195">
      <c r="A16" s="255" t="n"/>
      <c r="B16" s="255" t="inlineStr">
        <is>
          <t>Predicted: No Readmit</t>
        </is>
      </c>
      <c r="C16" s="255" t="inlineStr">
        <is>
          <t>Predicted: Readmit</t>
        </is>
      </c>
      <c r="D16" s="255" t="inlineStr">
        <is>
          <t>Total</t>
        </is>
      </c>
      <c r="E16" s="255" t="inlineStr">
        <is>
          <t>Row %</t>
        </is>
      </c>
    </row>
    <row r="17" ht="15" customHeight="1" s="195">
      <c r="A17" s="275" t="inlineStr">
        <is>
          <t>Actual: No Readmit</t>
        </is>
      </c>
      <c r="B17" s="308" t="n">
        <v>5837</v>
      </c>
      <c r="C17" s="309" t="n">
        <v>1358</v>
      </c>
      <c r="D17" s="310" t="n">
        <v>7195</v>
      </c>
      <c r="E17" s="259" t="n">
        <v>0.81139680333565</v>
      </c>
    </row>
    <row r="18" ht="15" customHeight="1" s="195">
      <c r="A18" s="275" t="inlineStr">
        <is>
          <t>Actual: Readmit</t>
        </is>
      </c>
      <c r="B18" s="309" t="n">
        <v>3755</v>
      </c>
      <c r="C18" s="308" t="n">
        <v>2368</v>
      </c>
      <c r="D18" s="311" t="n">
        <v>6123</v>
      </c>
      <c r="E18" s="257" t="n">
        <v>0.386901845500572</v>
      </c>
    </row>
    <row r="19" ht="15" customHeight="1" s="195">
      <c r="A19" s="275" t="inlineStr">
        <is>
          <t>Total</t>
        </is>
      </c>
      <c r="B19" s="312" t="n">
        <v>9592</v>
      </c>
      <c r="C19" s="312" t="n">
        <v>3726</v>
      </c>
      <c r="D19" s="310" t="n">
        <v>13318</v>
      </c>
      <c r="E19" s="313" t="n"/>
    </row>
    <row r="21" ht="21.75" customHeight="1" s="195">
      <c r="A21" s="205" t="inlineStr">
        <is>
          <t>Feature Importance — Logistic Regression Coefficients</t>
        </is>
      </c>
    </row>
    <row r="22" ht="21.75" customHeight="1" s="195">
      <c r="A22" s="255" t="inlineStr">
        <is>
          <t>Feature (Input Variable)</t>
        </is>
      </c>
      <c r="B22" s="255" t="inlineStr">
        <is>
          <t>Raw Coefficient</t>
        </is>
      </c>
      <c r="C22" s="255" t="inlineStr">
        <is>
          <t>Direction</t>
        </is>
      </c>
      <c r="D22" s="255" t="inlineStr">
        <is>
          <t>Impact Strength</t>
        </is>
      </c>
      <c r="E22" s="255" t="n"/>
    </row>
    <row r="23" ht="19.5" customHeight="1" s="195">
      <c r="A23" s="258" t="inlineStr">
        <is>
          <t>Prior Inpatient Visits</t>
        </is>
      </c>
      <c r="B23" s="314" t="n">
        <v>0.4644</v>
      </c>
      <c r="C23" s="258" t="inlineStr">
        <is>
          <t>↑ Increases Risk</t>
        </is>
      </c>
      <c r="D23" s="258" t="inlineStr">
        <is>
          <t>Strong</t>
        </is>
      </c>
      <c r="E23" s="236" t="inlineStr">
        <is>
          <t>History of hospitalization = strongest predictor by far</t>
        </is>
      </c>
      <c r="F23" s="194" t="inlineStr">
        <is>
          <t>History of hospitalization = strongest predictor by far</t>
        </is>
      </c>
    </row>
    <row r="24" ht="19.5" customHeight="1" s="195">
      <c r="A24" s="256" t="inlineStr">
        <is>
          <t>Prior Emergency Visits</t>
        </is>
      </c>
      <c r="B24" s="315" t="n">
        <v>0.1985</v>
      </c>
      <c r="C24" s="256" t="inlineStr">
        <is>
          <t>↑ Increases Risk</t>
        </is>
      </c>
      <c r="D24" s="256" t="inlineStr">
        <is>
          <t>Moderate</t>
        </is>
      </c>
      <c r="E24" s="238" t="inlineStr">
        <is>
          <t>Frequent ED visits signal uncontrolled conditions</t>
        </is>
      </c>
      <c r="F24" s="194" t="inlineStr">
        <is>
          <t>Frequent ED visits signal uncontrolled conditions</t>
        </is>
      </c>
    </row>
    <row r="25" ht="19.5" customHeight="1" s="195">
      <c r="A25" s="258" t="inlineStr">
        <is>
          <t>Number of Diagnoses</t>
        </is>
      </c>
      <c r="B25" s="314" t="n">
        <v>0.1432</v>
      </c>
      <c r="C25" s="258" t="inlineStr">
        <is>
          <t>↑ Increases Risk</t>
        </is>
      </c>
      <c r="D25" s="258" t="inlineStr">
        <is>
          <t>Moderate</t>
        </is>
      </c>
      <c r="E25" s="236" t="inlineStr">
        <is>
          <t>More diagnoses = more complex health profile</t>
        </is>
      </c>
      <c r="F25" s="194" t="inlineStr">
        <is>
          <t>More diagnoses = more complex health profile</t>
        </is>
      </c>
    </row>
    <row r="26" ht="19.5" customHeight="1" s="195">
      <c r="A26" s="256" t="inlineStr">
        <is>
          <t>Diabetes Medication (Yes)</t>
        </is>
      </c>
      <c r="B26" s="315" t="n">
        <v>0.1113</v>
      </c>
      <c r="C26" s="256" t="inlineStr">
        <is>
          <t>↑ Increases Risk</t>
        </is>
      </c>
      <c r="D26" s="256" t="inlineStr">
        <is>
          <t>Weak</t>
        </is>
      </c>
      <c r="E26" s="238" t="inlineStr">
        <is>
          <t>Diabetic patients carry higher baseline risk</t>
        </is>
      </c>
      <c r="F26" s="194" t="inlineStr">
        <is>
          <t>Diabetic patients carry higher baseline risk</t>
        </is>
      </c>
    </row>
    <row r="27" ht="19.5" customHeight="1" s="195">
      <c r="A27" s="258" t="inlineStr">
        <is>
          <t>Prior Outpatient Visits</t>
        </is>
      </c>
      <c r="B27" s="314" t="n">
        <v>0.1007</v>
      </c>
      <c r="C27" s="258" t="inlineStr">
        <is>
          <t>↑ Increases Risk</t>
        </is>
      </c>
      <c r="D27" s="258" t="inlineStr">
        <is>
          <t>Weak</t>
        </is>
      </c>
      <c r="E27" s="236" t="inlineStr">
        <is>
          <t>Complex outpatient needs reflect chronic conditions</t>
        </is>
      </c>
      <c r="F27" s="194" t="inlineStr">
        <is>
          <t>Complex outpatient needs reflect chronic conditions</t>
        </is>
      </c>
    </row>
    <row r="28" ht="19.5" customHeight="1" s="195">
      <c r="A28" s="256" t="inlineStr">
        <is>
          <t>Non-Lab Procedures</t>
        </is>
      </c>
      <c r="B28" s="315" t="n">
        <v>-0.07539999999999999</v>
      </c>
      <c r="C28" s="256" t="inlineStr">
        <is>
          <t>↓ Decreases Risk</t>
        </is>
      </c>
      <c r="D28" s="256" t="inlineStr">
        <is>
          <t>Weak</t>
        </is>
      </c>
      <c r="E28" s="238" t="inlineStr">
        <is>
          <t>More procedures slightly reduces risk (treated adequately)</t>
        </is>
      </c>
      <c r="F28" s="194" t="inlineStr">
        <is>
          <t>More procedures slightly reduces risk (treated adequately)</t>
        </is>
      </c>
    </row>
    <row r="29" ht="19.5" customHeight="1" s="195">
      <c r="A29" s="258" t="inlineStr">
        <is>
          <t>Days in Hospital</t>
        </is>
      </c>
      <c r="B29" s="314" t="n">
        <v>0.0395</v>
      </c>
      <c r="C29" s="258" t="inlineStr">
        <is>
          <t>↑ Increases Risk</t>
        </is>
      </c>
      <c r="D29" s="258" t="inlineStr">
        <is>
          <t>Weak</t>
        </is>
      </c>
      <c r="E29" s="236" t="inlineStr">
        <is>
          <t>Longer stays slightly elevate return probability</t>
        </is>
      </c>
      <c r="F29" s="194" t="inlineStr">
        <is>
          <t>Longer stays slightly elevate return probability</t>
        </is>
      </c>
    </row>
    <row r="30" ht="19.5" customHeight="1" s="195">
      <c r="A30" s="256" t="inlineStr">
        <is>
          <t>Age Group (Older)</t>
        </is>
      </c>
      <c r="B30" s="315" t="n">
        <v>0.0279</v>
      </c>
      <c r="C30" s="256" t="inlineStr">
        <is>
          <t>↑ Increases Risk</t>
        </is>
      </c>
      <c r="D30" s="256" t="inlineStr">
        <is>
          <t>Weak</t>
        </is>
      </c>
      <c r="E30" s="238" t="inlineStr">
        <is>
          <t>Older patients have slightly higher risk</t>
        </is>
      </c>
      <c r="F30" s="194" t="inlineStr">
        <is>
          <t>Older patients have slightly higher risk</t>
        </is>
      </c>
    </row>
    <row r="31" ht="19.5" customHeight="1" s="195">
      <c r="A31" s="258" t="inlineStr">
        <is>
          <t>Lab Procedures</t>
        </is>
      </c>
      <c r="B31" s="314" t="n">
        <v>0.0252</v>
      </c>
      <c r="C31" s="258" t="inlineStr">
        <is>
          <t>↑ Increases Risk</t>
        </is>
      </c>
      <c r="D31" s="258" t="inlineStr">
        <is>
          <t>Weak</t>
        </is>
      </c>
      <c r="E31" s="236" t="inlineStr">
        <is>
          <t>Lab volume is a proxy for acuity, not driver</t>
        </is>
      </c>
      <c r="F31" s="194" t="inlineStr">
        <is>
          <t>Lab volume is a proxy for acuity, not driver</t>
        </is>
      </c>
    </row>
    <row r="32" ht="19.5" customHeight="1" s="195">
      <c r="A32" s="256" t="inlineStr">
        <is>
          <t>Total Medications</t>
        </is>
      </c>
      <c r="B32" s="315" t="n">
        <v>0.0209</v>
      </c>
      <c r="C32" s="256" t="inlineStr">
        <is>
          <t>↑ Increases Risk</t>
        </is>
      </c>
      <c r="D32" s="256" t="inlineStr">
        <is>
          <t>Weak</t>
        </is>
      </c>
      <c r="E32" s="238" t="inlineStr">
        <is>
          <t>Medication count has small direct coefficient</t>
        </is>
      </c>
      <c r="F32" s="194" t="inlineStr">
        <is>
          <t>Medication count has small direct coefficient</t>
        </is>
      </c>
    </row>
    <row r="33" ht="19.5" customHeight="1" s="195">
      <c r="A33" s="258" t="inlineStr">
        <is>
          <t>Gender (Female)</t>
        </is>
      </c>
      <c r="B33" s="314" t="n">
        <v>0.0148</v>
      </c>
      <c r="C33" s="258" t="inlineStr">
        <is>
          <t>↑ Increases Risk</t>
        </is>
      </c>
      <c r="D33" s="258" t="inlineStr">
        <is>
          <t>Weak</t>
        </is>
      </c>
      <c r="E33" s="236" t="inlineStr">
        <is>
          <t>Female patients marginally more likely to return</t>
        </is>
      </c>
      <c r="F33" s="194" t="inlineStr">
        <is>
          <t>Female patients marginally more likely to return</t>
        </is>
      </c>
    </row>
    <row r="34" ht="19.5" customHeight="1" s="195">
      <c r="A34" s="256" t="inlineStr">
        <is>
          <t>Medication Change</t>
        </is>
      </c>
      <c r="B34" s="305" t="n">
        <v>0.0015</v>
      </c>
      <c r="C34" s="256" t="inlineStr">
        <is>
          <t>↑ Increases Risk</t>
        </is>
      </c>
      <c r="D34" s="256" t="inlineStr">
        <is>
          <t>Weak</t>
        </is>
      </c>
      <c r="E34" s="238" t="inlineStr">
        <is>
          <t>Medication changes show minimal independent effect</t>
        </is>
      </c>
      <c r="F34" s="194" t="inlineStr">
        <is>
          <t>Medication changes show minimal independent effect</t>
        </is>
      </c>
    </row>
    <row r="36" ht="21.75" customHeight="1" s="195">
      <c r="A36" s="205" t="inlineStr">
        <is>
          <t>Risk Score Tier Distribution — All 66,587 Patients</t>
        </is>
      </c>
    </row>
    <row r="37" ht="21.75" customHeight="1" s="195">
      <c r="A37" s="255" t="inlineStr">
        <is>
          <t>Risk Tier</t>
        </is>
      </c>
      <c r="B37" s="255" t="inlineStr">
        <is>
          <t>Patient Count</t>
        </is>
      </c>
      <c r="C37" s="255" t="inlineStr">
        <is>
          <t>% of Dataset</t>
        </is>
      </c>
      <c r="D37" s="255" t="inlineStr">
        <is>
          <t>Actual Readmissions</t>
        </is>
      </c>
      <c r="E37" s="255" t="inlineStr">
        <is>
          <t>Actual Readmit Rate</t>
        </is>
      </c>
    </row>
    <row r="38" ht="19.5" customHeight="1" s="195">
      <c r="A38" s="256" t="inlineStr">
        <is>
          <t>Low Risk</t>
        </is>
      </c>
      <c r="B38" s="256" t="n">
        <v>23379</v>
      </c>
      <c r="C38" s="265" t="n">
        <v>0.3511</v>
      </c>
      <c r="D38" s="256" t="n">
        <v>7673</v>
      </c>
      <c r="E38" s="257" t="n">
        <v>0.3282</v>
      </c>
    </row>
    <row r="39" ht="19.5" customHeight="1" s="195">
      <c r="A39" s="258" t="inlineStr">
        <is>
          <t>Medium Risk</t>
        </is>
      </c>
      <c r="B39" s="258" t="n">
        <v>24464</v>
      </c>
      <c r="C39" s="267" t="n">
        <v>0.3674</v>
      </c>
      <c r="D39" s="258" t="n">
        <v>11105</v>
      </c>
      <c r="E39" s="259" t="n">
        <v>0.4539</v>
      </c>
    </row>
    <row r="40" ht="19.5" customHeight="1" s="195">
      <c r="A40" s="256" t="inlineStr">
        <is>
          <t>High Risk</t>
        </is>
      </c>
      <c r="B40" s="256" t="n">
        <v>9752</v>
      </c>
      <c r="C40" s="265" t="n">
        <v>0.1465</v>
      </c>
      <c r="D40" s="256" t="n">
        <v>5676</v>
      </c>
      <c r="E40" s="257" t="n">
        <v>0.582</v>
      </c>
    </row>
    <row r="41" ht="19.5" customHeight="1" s="195">
      <c r="A41" s="258" t="inlineStr">
        <is>
          <t>Critical Risk</t>
        </is>
      </c>
      <c r="B41" s="258" t="n">
        <v>8992</v>
      </c>
      <c r="C41" s="267" t="n">
        <v>0.135</v>
      </c>
      <c r="D41" s="258" t="n">
        <v>6312</v>
      </c>
      <c r="E41" s="261" t="n">
        <v>0.702</v>
      </c>
    </row>
    <row r="43" ht="64.5" customHeight="1" s="195">
      <c r="A43" s="263" t="n"/>
    </row>
    <row r="45" ht="21.75" customHeight="1" s="195">
      <c r="A45" s="205" t="inlineStr">
        <is>
          <t>ROC Curve Data Points (AUC = 0.652)</t>
        </is>
      </c>
    </row>
    <row r="46" ht="21.75" customHeight="1" s="195">
      <c r="A46" s="255" t="inlineStr">
        <is>
          <t>False Positive Rate</t>
        </is>
      </c>
      <c r="B46" s="255" t="inlineStr">
        <is>
          <t>True Positive Rate (Sensitivity)</t>
        </is>
      </c>
      <c r="C46" s="255" t="n"/>
    </row>
    <row r="47" ht="19.5" customHeight="1" s="195">
      <c r="A47" s="258" t="n">
        <v>0</v>
      </c>
      <c r="B47" s="258" t="n">
        <v>0</v>
      </c>
      <c r="C47" s="258" t="inlineStr">
        <is>
          <t>Random classifier baseline</t>
        </is>
      </c>
    </row>
    <row r="48" ht="19.5" customHeight="1" s="195">
      <c r="A48" s="256" t="n">
        <v>0.057</v>
      </c>
      <c r="B48" s="256" t="n">
        <v>0.169</v>
      </c>
      <c r="C48" s="256" t="n"/>
    </row>
    <row r="49" ht="19.5" customHeight="1" s="195">
      <c r="A49" s="258" t="n">
        <v>0.127</v>
      </c>
      <c r="B49" s="258" t="n">
        <v>0.295</v>
      </c>
      <c r="C49" s="258" t="n"/>
    </row>
    <row r="50" ht="19.5" customHeight="1" s="195">
      <c r="A50" s="256" t="n">
        <v>0.207</v>
      </c>
      <c r="B50" s="256" t="n">
        <v>0.412</v>
      </c>
      <c r="C50" s="256" t="inlineStr">
        <is>
          <t>Optimal operating point</t>
        </is>
      </c>
    </row>
    <row r="51" ht="19.5" customHeight="1" s="195">
      <c r="A51" s="258" t="n">
        <v>0.293</v>
      </c>
      <c r="B51" s="258" t="n">
        <v>0.517</v>
      </c>
      <c r="C51" s="258" t="n"/>
    </row>
    <row r="52" ht="19.5" customHeight="1" s="195">
      <c r="A52" s="256" t="n">
        <v>0.392</v>
      </c>
      <c r="B52" s="256" t="n">
        <v>0.611</v>
      </c>
      <c r="C52" s="256" t="n"/>
    </row>
    <row r="53" ht="19.5" customHeight="1" s="195">
      <c r="A53" s="258" t="n">
        <v>0.495</v>
      </c>
      <c r="B53" s="258" t="n">
        <v>0.698</v>
      </c>
      <c r="C53" s="258" t="n"/>
    </row>
    <row r="54" ht="19.5" customHeight="1" s="195">
      <c r="A54" s="256" t="n">
        <v>0.597</v>
      </c>
      <c r="B54" s="256" t="n">
        <v>0.781</v>
      </c>
      <c r="C54" s="256" t="n"/>
    </row>
    <row r="55" ht="19.5" customHeight="1" s="195">
      <c r="A55" s="258" t="n">
        <v>0.718</v>
      </c>
      <c r="B55" s="258" t="n">
        <v>0.86</v>
      </c>
      <c r="C55" s="258" t="n"/>
    </row>
    <row r="56" ht="19.5" customHeight="1" s="195">
      <c r="A56" s="256" t="n">
        <v>0.856</v>
      </c>
      <c r="B56" s="256" t="n">
        <v>0.9320000000000001</v>
      </c>
      <c r="C56" s="256" t="n"/>
    </row>
    <row r="57" ht="19.5" customHeight="1" s="195">
      <c r="A57" s="258" t="n">
        <v>1</v>
      </c>
      <c r="B57" s="258" t="n">
        <v>1</v>
      </c>
      <c r="C57" s="258" t="n"/>
    </row>
    <row r="58" ht="19.5" customHeight="1" s="195">
      <c r="A58" s="256" t="n">
        <v>1</v>
      </c>
      <c r="B58" s="256" t="n">
        <v>1</v>
      </c>
      <c r="C58" s="256" t="inlineStr">
        <is>
          <t>Random classifier baseline</t>
        </is>
      </c>
    </row>
  </sheetData>
  <mergeCells count="9">
    <mergeCell ref="A21:E21"/>
    <mergeCell ref="A4:E4"/>
    <mergeCell ref="A43:E43"/>
    <mergeCell ref="A2:E2"/>
    <mergeCell ref="A15:E15"/>
    <mergeCell ref="A1:E1"/>
    <mergeCell ref="A45:E45"/>
    <mergeCell ref="A36:E36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Q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94" min="1" max="1"/>
    <col width="15" customWidth="1" style="194" min="2" max="6"/>
    <col width="20" customWidth="1" style="195" min="3" max="3"/>
    <col width="19" customWidth="1" style="195" min="4" max="4"/>
    <col width="9" customWidth="1" style="195" min="5" max="5"/>
    <col width="10" customWidth="1" style="195" min="6" max="6"/>
    <col width="21" customWidth="1" style="194" min="7" max="8"/>
    <col width="8" customWidth="1" style="195" min="8" max="8"/>
    <col width="8" customWidth="1" style="194" min="9" max="9"/>
    <col width="8" customWidth="1" style="195" min="10" max="10"/>
    <col width="8" customWidth="1" style="195" min="11" max="11"/>
    <col width="8" customWidth="1" style="195" min="12" max="12"/>
    <col width="8" customWidth="1" style="195" min="13" max="13"/>
    <col width="8" customWidth="1" style="195" min="14" max="14"/>
    <col width="26" customWidth="1" style="195" min="15" max="15"/>
    <col width="10" customWidth="1" style="195" min="16" max="16"/>
    <col width="14" customWidth="1" style="195" min="17" max="17"/>
  </cols>
  <sheetData>
    <row r="1" ht="27.75" customHeight="1" s="195">
      <c r="A1" s="233" t="inlineStr">
        <is>
          <t>AQ2 — Patient Segmentation via K-Means Clustering (k=4)</t>
        </is>
      </c>
    </row>
    <row r="2" ht="18" customHeight="1" s="195">
      <c r="A2" s="254" t="inlineStr">
        <is>
          <t>Grouping 66,587 patients by healthcare utilization patterns to guide differentiated care strategies</t>
        </is>
      </c>
      <c r="O2" s="194" t="inlineStr">
        <is>
          <t>Segment</t>
        </is>
      </c>
      <c r="P2" s="194" t="inlineStr">
        <is>
          <t>Patients</t>
        </is>
      </c>
      <c r="Q2" s="194" t="inlineStr">
        <is>
          <t>Readmit Rate</t>
        </is>
      </c>
    </row>
    <row r="3" ht="19.5" customHeight="1" s="195">
      <c r="A3" s="283" t="inlineStr">
        <is>
          <t>Clustering Variables: LOS, Lab Procedures, Medications, Outpatient/Emergency/Inpatient Visits, Diagnoses, Procedures</t>
        </is>
      </c>
      <c r="B3" s="272" t="n"/>
      <c r="C3" s="272" t="n"/>
      <c r="D3" s="272" t="n"/>
      <c r="E3" s="272" t="n"/>
      <c r="F3" s="273" t="n"/>
      <c r="O3" s="194" t="inlineStr">
        <is>
          <t>Chronic High-Utilizers</t>
        </is>
      </c>
      <c r="P3" s="194" t="n">
        <v>4482</v>
      </c>
      <c r="Q3" s="194" t="n">
        <v>0.7477</v>
      </c>
    </row>
    <row r="4" ht="21.75" customHeight="1" s="195">
      <c r="A4" s="255" t="inlineStr">
        <is>
          <t>Segment Name</t>
        </is>
      </c>
      <c r="B4" s="255" t="inlineStr">
        <is>
          <t>Patient Count</t>
        </is>
      </c>
      <c r="C4" s="255" t="inlineStr">
        <is>
          <t>% Dataset</t>
        </is>
      </c>
      <c r="D4" s="255" t="inlineStr">
        <is>
          <t>Readmit Rate</t>
        </is>
      </c>
      <c r="E4" s="255" t="inlineStr">
        <is>
          <t>Avg LOS</t>
        </is>
      </c>
      <c r="F4" s="255" t="inlineStr">
        <is>
          <t>Avg Meds</t>
        </is>
      </c>
      <c r="G4" s="255" t="inlineStr">
        <is>
          <t>Avg Prior Inpatient</t>
        </is>
      </c>
      <c r="O4" s="194" t="inlineStr">
        <is>
          <t>Complex Polypharmacy</t>
        </is>
      </c>
      <c r="P4" s="194" t="n">
        <v>14134</v>
      </c>
      <c r="Q4" s="194" t="n">
        <v>0.475</v>
      </c>
    </row>
    <row r="5" ht="19.5" customHeight="1" s="195">
      <c r="A5" s="297" t="inlineStr">
        <is>
          <t>Chronic High-Utilizers</t>
        </is>
      </c>
      <c r="B5" s="258" t="n">
        <v>4482</v>
      </c>
      <c r="C5" s="267" t="n">
        <v>0.06731043597098529</v>
      </c>
      <c r="D5" s="261" t="n">
        <v>0.747657295850067</v>
      </c>
      <c r="E5" s="270" t="n">
        <v>4.48</v>
      </c>
      <c r="F5" s="270" t="n">
        <v>17.2</v>
      </c>
      <c r="G5" s="270" t="n">
        <v>3.57</v>
      </c>
      <c r="O5" s="194" t="inlineStr">
        <is>
          <t>Moderate-Acuity Standard</t>
        </is>
      </c>
      <c r="P5" s="194" t="n">
        <v>28872</v>
      </c>
      <c r="Q5" s="194" t="n">
        <v>0.4715</v>
      </c>
    </row>
    <row r="6" ht="19.5" customHeight="1" s="195">
      <c r="A6" s="316" t="inlineStr">
        <is>
          <t>Complex Polypharmacy</t>
        </is>
      </c>
      <c r="B6" s="256" t="n">
        <v>14134</v>
      </c>
      <c r="C6" s="265" t="n">
        <v>0.212263655067806</v>
      </c>
      <c r="D6" s="257" t="n">
        <v>0.475024762982878</v>
      </c>
      <c r="E6" s="269" t="n">
        <v>8.050000000000001</v>
      </c>
      <c r="F6" s="269" t="n">
        <v>25.2</v>
      </c>
      <c r="G6" s="269" t="n">
        <v>0.53</v>
      </c>
      <c r="O6" s="194" t="inlineStr">
        <is>
          <t>Low-Acuity Short Stay</t>
        </is>
      </c>
      <c r="P6" s="194" t="n">
        <v>19099</v>
      </c>
      <c r="Q6" s="194" t="n">
        <v>0.371</v>
      </c>
    </row>
    <row r="7" ht="19.5" customHeight="1" s="195">
      <c r="A7" s="255" t="inlineStr">
        <is>
          <t>Moderate-Acuity Standard</t>
        </is>
      </c>
      <c r="B7" s="258" t="n">
        <v>28872</v>
      </c>
      <c r="C7" s="267" t="n">
        <v>0.433598149788998</v>
      </c>
      <c r="D7" s="259" t="n">
        <v>0.471529509559435</v>
      </c>
      <c r="E7" s="270" t="n">
        <v>3.52</v>
      </c>
      <c r="F7" s="270" t="n">
        <v>14.1</v>
      </c>
      <c r="G7" s="270" t="n">
        <v>0.46</v>
      </c>
    </row>
    <row r="8" ht="19.5" customHeight="1" s="195">
      <c r="A8" s="317" t="inlineStr">
        <is>
          <t>Low-Acuity Short Stay</t>
        </is>
      </c>
      <c r="B8" s="256" t="n">
        <v>19099</v>
      </c>
      <c r="C8" s="265" t="n">
        <v>0.286827759172211</v>
      </c>
      <c r="D8" s="257" t="n">
        <v>0.370961830462328</v>
      </c>
      <c r="E8" s="269" t="n">
        <v>3</v>
      </c>
      <c r="F8" s="269" t="n">
        <v>11.8</v>
      </c>
      <c r="G8" s="269" t="n">
        <v>0.3</v>
      </c>
    </row>
    <row r="10" ht="9.75" customHeight="1" s="195"/>
    <row r="11" ht="21.75" customHeight="1" s="195">
      <c r="A11" s="205" t="n"/>
    </row>
    <row r="12" ht="21.75" customHeight="1" s="195">
      <c r="A12" s="297" t="n"/>
      <c r="B12" s="272" t="n"/>
      <c r="C12" s="272" t="n"/>
      <c r="D12" s="272" t="n"/>
      <c r="E12" s="272" t="n"/>
      <c r="F12" s="273" t="n"/>
    </row>
    <row r="13" ht="30" customHeight="1" s="195">
      <c r="A13" s="238" t="inlineStr">
        <is>
          <t>Profile: High prior inpatient (3.6 avg), high emergency visits (1.56), avg 17.2 medications</t>
        </is>
      </c>
      <c r="B13" s="272" t="n"/>
      <c r="C13" s="272" t="n"/>
      <c r="D13" s="272" t="n"/>
      <c r="E13" s="272" t="n"/>
      <c r="F13" s="273" t="n"/>
    </row>
    <row r="14" ht="34.5" customHeight="1" s="195">
      <c r="A14" s="318" t="n"/>
      <c r="B14" s="272" t="n"/>
      <c r="C14" s="272" t="n"/>
      <c r="D14" s="272" t="n"/>
      <c r="E14" s="272" t="n"/>
      <c r="F14" s="273" t="n"/>
    </row>
    <row r="16" ht="21.75" customHeight="1" s="195">
      <c r="A16" s="316" t="n"/>
      <c r="B16" s="272" t="n"/>
      <c r="C16" s="272" t="n"/>
      <c r="D16" s="272" t="n"/>
      <c r="E16" s="272" t="n"/>
      <c r="F16" s="273" t="n"/>
    </row>
    <row r="17" ht="30" customHeight="1" s="195">
      <c r="A17" s="238" t="inlineStr">
        <is>
          <t>Profile: Very long LOS (8.0 days avg), highest lab count (56.7), highest medications (25.2 avg)</t>
        </is>
      </c>
      <c r="B17" s="272" t="n"/>
      <c r="C17" s="272" t="n"/>
      <c r="D17" s="272" t="n"/>
      <c r="E17" s="272" t="n"/>
      <c r="F17" s="273" t="n"/>
    </row>
    <row r="18" ht="34.5" customHeight="1" s="195">
      <c r="A18" s="318" t="n"/>
      <c r="B18" s="272" t="n"/>
      <c r="C18" s="272" t="n"/>
      <c r="D18" s="272" t="n"/>
      <c r="E18" s="272" t="n"/>
      <c r="F18" s="273" t="n"/>
    </row>
    <row r="20" ht="21.75" customHeight="1" s="195">
      <c r="A20" s="255" t="n"/>
      <c r="B20" s="272" t="n"/>
      <c r="C20" s="272" t="n"/>
      <c r="D20" s="272" t="n"/>
      <c r="E20" s="272" t="n"/>
      <c r="F20" s="273" t="n"/>
    </row>
    <row r="21" ht="30" customHeight="1" s="195">
      <c r="A21" s="238" t="inlineStr">
        <is>
          <t>Profile: Mid-range LOS (3.5 days), moderate lab/med use, low prior visit history</t>
        </is>
      </c>
      <c r="B21" s="272" t="n"/>
      <c r="C21" s="272" t="n"/>
      <c r="D21" s="272" t="n"/>
      <c r="E21" s="272" t="n"/>
      <c r="F21" s="273" t="n"/>
    </row>
    <row r="22" ht="34.5" customHeight="1" s="195">
      <c r="A22" s="318" t="n"/>
      <c r="B22" s="272" t="n"/>
      <c r="C22" s="272" t="n"/>
      <c r="D22" s="272" t="n"/>
      <c r="E22" s="272" t="n"/>
      <c r="F22" s="273" t="n"/>
    </row>
    <row r="24" ht="21.75" customHeight="1" s="195">
      <c r="A24" s="317" t="n"/>
      <c r="B24" s="272" t="n"/>
      <c r="C24" s="272" t="n"/>
      <c r="D24" s="272" t="n"/>
      <c r="E24" s="272" t="n"/>
      <c r="F24" s="273" t="n"/>
    </row>
    <row r="25" ht="30" customHeight="1" s="195">
      <c r="A25" s="238" t="inlineStr">
        <is>
          <t>Profile: Shortest LOS (3.0 days), fewest medications (11.8), fewest prior visits, fewest diagnoses (4.9)</t>
        </is>
      </c>
      <c r="B25" s="272" t="n"/>
      <c r="C25" s="272" t="n"/>
      <c r="D25" s="272" t="n"/>
      <c r="E25" s="272" t="n"/>
      <c r="F25" s="273" t="n"/>
    </row>
    <row r="26" ht="34.5" customHeight="1" s="195">
      <c r="A26" s="318" t="n"/>
      <c r="B26" s="272" t="n"/>
      <c r="C26" s="272" t="n"/>
      <c r="D26" s="272" t="n"/>
      <c r="E26" s="272" t="n"/>
      <c r="F26" s="273" t="n"/>
    </row>
    <row r="28" ht="60" customHeight="1" s="195">
      <c r="A28" s="263" t="n"/>
    </row>
  </sheetData>
  <mergeCells count="17">
    <mergeCell ref="A24:F24"/>
    <mergeCell ref="A2:F2"/>
    <mergeCell ref="A11:F11"/>
    <mergeCell ref="A16:F16"/>
    <mergeCell ref="A28:F28"/>
    <mergeCell ref="A13:F13"/>
    <mergeCell ref="A14:F14"/>
    <mergeCell ref="A3:F3"/>
    <mergeCell ref="A1:F1"/>
    <mergeCell ref="A22:F22"/>
    <mergeCell ref="A17:F17"/>
    <mergeCell ref="A12:F12"/>
    <mergeCell ref="A18:F18"/>
    <mergeCell ref="A26:F26"/>
    <mergeCell ref="A21:F21"/>
    <mergeCell ref="A20:F20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94" min="1" max="1"/>
    <col width="28" customWidth="1" style="194" min="2" max="5"/>
    <col width="80" customWidth="1" style="195" min="3" max="3"/>
    <col width="20" customWidth="1" style="195" min="4" max="4"/>
    <col width="34" customWidth="1" style="195" min="5" max="5"/>
    <col width="18" customWidth="1" style="194" min="6" max="6"/>
    <col width="44" customWidth="1" style="194" min="7" max="7"/>
  </cols>
  <sheetData>
    <row r="1" ht="27.75" customHeight="1" s="195">
      <c r="A1" s="233" t="inlineStr">
        <is>
          <t>AQ3 — Financial Impact of Readmissions</t>
        </is>
      </c>
    </row>
    <row r="2" ht="18" customHeight="1" s="195">
      <c r="A2" s="254" t="inlineStr">
        <is>
          <t>Estimating total, avoidable, and segment-level costs using industry-standard benchmarks</t>
        </is>
      </c>
    </row>
    <row r="3" ht="21.75" customHeight="1" s="195">
      <c r="A3" s="205" t="n"/>
    </row>
    <row r="4" ht="21.75" customHeight="1" s="195">
      <c r="A4" s="255" t="inlineStr">
        <is>
          <t>Assumption</t>
        </is>
      </c>
      <c r="B4" s="255" t="inlineStr">
        <is>
          <t>Value</t>
        </is>
      </c>
      <c r="C4" s="255" t="n"/>
      <c r="D4" s="255" t="n"/>
      <c r="E4" s="255" t="n"/>
    </row>
    <row r="5" ht="19.5" customHeight="1" s="195">
      <c r="A5" s="258" t="inlineStr">
        <is>
          <t>Avg Cost per Readmission</t>
        </is>
      </c>
      <c r="B5" s="319" t="inlineStr">
        <is>
          <t>$15,000</t>
        </is>
      </c>
      <c r="C5" s="258" t="inlineStr">
        <is>
          <t>US industry average for all-cause 30-day readmission (CMS 2023)</t>
        </is>
      </c>
      <c r="D5" s="258" t="n"/>
      <c r="E5" s="258" t="n"/>
    </row>
    <row r="6" ht="19.5" customHeight="1" s="195">
      <c r="A6" s="256" t="inlineStr">
        <is>
          <t>Avoidable Readmission Rate</t>
        </is>
      </c>
      <c r="B6" s="320" t="inlineStr">
        <is>
          <t>27%</t>
        </is>
      </c>
      <c r="C6" s="256" t="n"/>
      <c r="D6" s="256" t="n"/>
      <c r="E6" s="256" t="n"/>
    </row>
    <row r="7" ht="19.5" customHeight="1" s="195">
      <c r="A7" s="258" t="inlineStr">
        <is>
          <t>CMS Penalty Threshold</t>
        </is>
      </c>
      <c r="B7" s="319" t="inlineStr">
        <is>
          <t>Excess Readmit Ratio &gt; 1.0</t>
        </is>
      </c>
      <c r="C7" s="258" t="inlineStr">
        <is>
          <t>Hospitals exceeding expected readmit rate face up to 3% Medicare reimbursement cut</t>
        </is>
      </c>
      <c r="D7" s="258" t="n"/>
      <c r="E7" s="258" t="n"/>
    </row>
    <row r="8" ht="19.5" customHeight="1" s="195">
      <c r="A8" s="256" t="inlineStr">
        <is>
          <t>Dataset Period</t>
        </is>
      </c>
      <c r="B8" s="320" t="inlineStr">
        <is>
          <t>Hospital FY Sample</t>
        </is>
      </c>
      <c r="C8" s="256" t="inlineStr">
        <is>
          <t>66,587 encounters — representative annual volume for large hospital</t>
        </is>
      </c>
      <c r="D8" s="256" t="n"/>
      <c r="E8" s="256" t="n"/>
    </row>
    <row r="9"/>
    <row r="10" ht="9.75" customHeight="1" s="195"/>
    <row r="11" ht="21.75" customHeight="1" s="195">
      <c r="A11" s="205" t="inlineStr">
        <is>
          <t>Overall Financial Summary</t>
        </is>
      </c>
    </row>
    <row r="12" ht="21.75" customHeight="1" s="195">
      <c r="A12" s="255" t="inlineStr">
        <is>
          <t>Financial Metric</t>
        </is>
      </c>
      <c r="B12" s="255" t="inlineStr">
        <is>
          <t>Volume / Count</t>
        </is>
      </c>
      <c r="C12" s="255" t="inlineStr">
        <is>
          <t>Estimated Cost (USD)</t>
        </is>
      </c>
      <c r="D12" s="255" t="inlineStr">
        <is>
          <t>% of Total</t>
        </is>
      </c>
      <c r="E12" s="255" t="n"/>
    </row>
    <row r="13" ht="19.5" customHeight="1" s="195">
      <c r="A13" s="258" t="inlineStr">
        <is>
          <t>Total Readmissions (30-day)</t>
        </is>
      </c>
      <c r="B13" s="258" t="inlineStr">
        <is>
          <t>30,764</t>
        </is>
      </c>
      <c r="C13" s="321" t="n">
        <v>461460000</v>
      </c>
      <c r="D13" s="267" t="n">
        <v>1</v>
      </c>
      <c r="E13" s="258" t="inlineStr">
        <is>
          <t>All readmissions in dataset</t>
        </is>
      </c>
    </row>
    <row r="14" ht="19.5" customHeight="1" s="195">
      <c r="A14" s="256" t="inlineStr">
        <is>
          <t>Unavoidable Readmissions</t>
        </is>
      </c>
      <c r="B14" s="256" t="inlineStr">
        <is>
          <t>22,458</t>
        </is>
      </c>
      <c r="C14" s="322" t="n">
        <v>336870000</v>
      </c>
      <c r="D14" s="265" t="n">
        <v>0.730009101547263</v>
      </c>
      <c r="E14" s="256" t="n"/>
    </row>
    <row r="15" ht="19.5" customHeight="1" s="195">
      <c r="A15" s="258" t="inlineStr">
        <is>
          <t>Avoidable Readmissions (27%)</t>
        </is>
      </c>
      <c r="B15" s="258" t="inlineStr">
        <is>
          <t>8,306</t>
        </is>
      </c>
      <c r="C15" s="323" t="n">
        <v>124590000</v>
      </c>
      <c r="D15" s="267" t="n">
        <v>0.269990898452737</v>
      </c>
      <c r="E15" s="258" t="inlineStr">
        <is>
          <t>Target for intervention programs</t>
        </is>
      </c>
    </row>
    <row r="16" ht="19.5" customHeight="1" s="195">
      <c r="A16" s="256" t="inlineStr">
        <is>
          <t>Potential Annual Savings</t>
        </is>
      </c>
      <c r="B16" s="256" t="inlineStr">
        <is>
          <t>8,306</t>
        </is>
      </c>
      <c r="C16" s="324" t="n">
        <v>124590000</v>
      </c>
      <c r="D16" s="265" t="n">
        <v>0.269990898452737</v>
      </c>
      <c r="E16" s="256" t="inlineStr">
        <is>
          <t>Maximum achievable reduction</t>
        </is>
      </c>
    </row>
    <row r="17"/>
    <row r="18" ht="9.75" customHeight="1" s="195"/>
    <row r="19" ht="21.75" customHeight="1" s="195">
      <c r="A19" s="205" t="inlineStr">
        <is>
          <t>Financial Breakdown by Risk Tier</t>
        </is>
      </c>
    </row>
    <row r="20" ht="21.75" customHeight="1" s="195">
      <c r="A20" s="255" t="inlineStr">
        <is>
          <t>Risk Tier</t>
        </is>
      </c>
      <c r="B20" s="255" t="inlineStr">
        <is>
          <t>Patients</t>
        </is>
      </c>
      <c r="C20" s="255" t="inlineStr">
        <is>
          <t>Readmissions</t>
        </is>
      </c>
      <c r="D20" s="255" t="inlineStr">
        <is>
          <t>Readmit Rate</t>
        </is>
      </c>
      <c r="E20" s="255" t="inlineStr">
        <is>
          <t>Total Cost (Est.)</t>
        </is>
      </c>
      <c r="F20" s="255" t="inlineStr">
        <is>
          <t>Avoidable Cost</t>
        </is>
      </c>
    </row>
    <row r="21" ht="19.5" customHeight="1" s="195">
      <c r="A21" s="258" t="inlineStr">
        <is>
          <t>Low Risk</t>
        </is>
      </c>
      <c r="B21" s="258" t="n">
        <v>23379</v>
      </c>
      <c r="C21" s="258" t="n">
        <v>7672</v>
      </c>
      <c r="D21" s="259" t="n">
        <v>0.3281577484066898</v>
      </c>
      <c r="E21" s="325" t="n">
        <v>115080000</v>
      </c>
      <c r="F21" s="326" t="n">
        <v>31071600</v>
      </c>
    </row>
    <row r="22" ht="19.5" customHeight="1" s="195">
      <c r="A22" s="256" t="inlineStr">
        <is>
          <t>Medium Risk</t>
        </is>
      </c>
      <c r="B22" s="256" t="n">
        <v>24464</v>
      </c>
      <c r="C22" s="256" t="n">
        <v>11104</v>
      </c>
      <c r="D22" s="257" t="n">
        <v>0.4538914323086985</v>
      </c>
      <c r="E22" s="327" t="n">
        <v>166560000</v>
      </c>
      <c r="F22" s="328" t="n">
        <v>44971200</v>
      </c>
    </row>
    <row r="23" ht="19.5" customHeight="1" s="195">
      <c r="A23" s="258" t="inlineStr">
        <is>
          <t>High Risk</t>
        </is>
      </c>
      <c r="B23" s="258" t="n">
        <v>9752</v>
      </c>
      <c r="C23" s="258" t="n">
        <v>5676</v>
      </c>
      <c r="D23" s="259" t="n">
        <v>0.5820344544708778</v>
      </c>
      <c r="E23" s="325" t="n">
        <v>85140000</v>
      </c>
      <c r="F23" s="326" t="n">
        <v>22987800</v>
      </c>
    </row>
    <row r="24" ht="19.5" customHeight="1" s="195">
      <c r="A24" s="256" t="inlineStr">
        <is>
          <t>Critical Risk</t>
        </is>
      </c>
      <c r="B24" s="256" t="n">
        <v>8992</v>
      </c>
      <c r="C24" s="256" t="n">
        <v>6312</v>
      </c>
      <c r="D24" s="260" t="n">
        <v>0.7019572953736655</v>
      </c>
      <c r="E24" s="327" t="n">
        <v>94680000</v>
      </c>
      <c r="F24" s="328" t="n">
        <v>25563600</v>
      </c>
    </row>
    <row r="25" ht="15" customHeight="1" s="195">
      <c r="A25" s="255" t="inlineStr">
        <is>
          <t>TOTAL</t>
        </is>
      </c>
      <c r="B25" s="255" t="n">
        <v>66587</v>
      </c>
      <c r="C25" s="255" t="n">
        <v>30764</v>
      </c>
      <c r="D25" s="262" t="n">
        <v>0.4620121044648355</v>
      </c>
      <c r="E25" s="329" t="n">
        <v>461460000</v>
      </c>
      <c r="F25" s="329" t="n">
        <v>124594200</v>
      </c>
    </row>
    <row r="26" ht="9.75" customHeight="1" s="195"/>
    <row r="27" ht="21.75" customHeight="1" s="195">
      <c r="A27" s="205" t="inlineStr">
        <is>
          <t>Financial Breakdown by Patient Segment (Clusters)</t>
        </is>
      </c>
    </row>
    <row r="28" ht="21.75" customHeight="1" s="195">
      <c r="A28" s="255" t="inlineStr">
        <is>
          <t>Patient Segment</t>
        </is>
      </c>
      <c r="B28" s="255" t="inlineStr">
        <is>
          <t>Patients</t>
        </is>
      </c>
      <c r="C28" s="255" t="inlineStr">
        <is>
          <t>Readmissions</t>
        </is>
      </c>
      <c r="D28" s="255" t="inlineStr">
        <is>
          <t>Total Cost</t>
        </is>
      </c>
      <c r="E28" s="255" t="inlineStr">
        <is>
          <t>Avoidable Cost</t>
        </is>
      </c>
      <c r="F28" s="255" t="inlineStr">
        <is>
          <t>Cost per Patient</t>
        </is>
      </c>
    </row>
    <row r="29" ht="19.5" customHeight="1" s="195">
      <c r="A29" s="258" t="inlineStr">
        <is>
          <t>Chronic High-Utilizers</t>
        </is>
      </c>
      <c r="B29" s="258" t="n">
        <v>4482</v>
      </c>
      <c r="C29" s="258" t="n">
        <v>3351</v>
      </c>
      <c r="D29" s="325" t="n">
        <v>50265000</v>
      </c>
      <c r="E29" s="326" t="n">
        <v>13571550</v>
      </c>
      <c r="F29" s="330" t="n">
        <v>11214.859437751</v>
      </c>
    </row>
    <row r="30" ht="19.5" customHeight="1" s="195">
      <c r="A30" s="256" t="inlineStr">
        <is>
          <t>Complex Polypharmacy</t>
        </is>
      </c>
      <c r="B30" s="256" t="n">
        <v>14134</v>
      </c>
      <c r="C30" s="256" t="n">
        <v>6714</v>
      </c>
      <c r="D30" s="327" t="n">
        <v>100710000</v>
      </c>
      <c r="E30" s="328" t="n">
        <v>27191700</v>
      </c>
      <c r="F30" s="331" t="n">
        <v>7125.37144474317</v>
      </c>
    </row>
    <row r="31" ht="19.5" customHeight="1" s="195">
      <c r="A31" s="258" t="inlineStr">
        <is>
          <t>Moderate-Acuity Standard</t>
        </is>
      </c>
      <c r="B31" s="258" t="n">
        <v>28872</v>
      </c>
      <c r="C31" s="258" t="n">
        <v>13614</v>
      </c>
      <c r="D31" s="325" t="n">
        <v>204210000</v>
      </c>
      <c r="E31" s="326" t="n">
        <v>55136700</v>
      </c>
      <c r="F31" s="330" t="n">
        <v>7072.94264339152</v>
      </c>
    </row>
    <row r="32" ht="19.5" customHeight="1" s="195">
      <c r="A32" s="256" t="inlineStr">
        <is>
          <t>Low-Acuity Short Stay</t>
        </is>
      </c>
      <c r="B32" s="256" t="n">
        <v>19099</v>
      </c>
      <c r="C32" s="256" t="n">
        <v>7085</v>
      </c>
      <c r="D32" s="327" t="n">
        <v>106275000</v>
      </c>
      <c r="E32" s="328" t="n">
        <v>28694250</v>
      </c>
      <c r="F32" s="331" t="n">
        <v>5564.42745693492</v>
      </c>
    </row>
    <row r="33"/>
    <row r="34" ht="69.75" customHeight="1" s="195">
      <c r="A34" s="263" t="n"/>
    </row>
  </sheetData>
  <mergeCells count="7">
    <mergeCell ref="A34:E34"/>
    <mergeCell ref="A2:E2"/>
    <mergeCell ref="A19:E19"/>
    <mergeCell ref="A11:E11"/>
    <mergeCell ref="A1:E1"/>
    <mergeCell ref="A27:E27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N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0" customWidth="1" style="194" min="1" max="1"/>
    <col width="15" customWidth="1" style="194" min="2" max="2"/>
    <col width="21" customWidth="1" style="194" min="3" max="3"/>
    <col width="19" customWidth="1" style="194" min="4" max="5"/>
    <col width="22" customWidth="1" style="195" min="5" max="5"/>
    <col width="59" customWidth="1" style="194" min="6" max="6"/>
    <col width="16" customWidth="1" style="194" min="7" max="7"/>
    <col width="8" customWidth="1" style="194" min="8" max="8"/>
    <col width="8" customWidth="1" style="194" min="9" max="9"/>
    <col width="18" customWidth="1" style="194" min="10" max="10"/>
    <col width="8" customWidth="1" style="194" min="11" max="11"/>
    <col width="8" customWidth="1" style="195" min="12" max="12"/>
    <col width="8" customWidth="1" style="195" min="13" max="13"/>
    <col width="8" customWidth="1" style="195" min="14" max="14"/>
  </cols>
  <sheetData>
    <row r="1" ht="30" customHeight="1" s="195">
      <c r="A1" s="395" t="inlineStr">
        <is>
          <t>AQ4 — Social Determinants of Health &amp; Readmission Rates</t>
        </is>
      </c>
    </row>
    <row r="2" ht="18" customHeight="1" s="195">
      <c r="A2" s="333" t="inlineStr">
        <is>
          <t>Analyzing how race, gender, and healthcare access patterns drive disparate readmission outcomes across patient groups</t>
        </is>
      </c>
    </row>
    <row r="3" ht="15" customHeight="1" s="195">
      <c r="A3" s="334" t="inlineStr">
        <is>
          <t>Dataset: 66,587 Encounters  |  Race Groups: 6  |  Gender: Male/Female  |  Access Proxy: Prior Outpatient Visits</t>
        </is>
      </c>
    </row>
    <row r="5" ht="21.75" customHeight="1" s="195">
      <c r="A5" s="335" t="inlineStr">
        <is>
          <t>SECTION 1 — READMISSION RATES &amp; TREATMENT INTENSITY BY RACE</t>
        </is>
      </c>
    </row>
    <row r="6" ht="31.5" customHeight="1" s="195">
      <c r="A6" s="336" t="inlineStr">
        <is>
          <t>Race / Ethnicity</t>
        </is>
      </c>
      <c r="B6" s="336" t="inlineStr">
        <is>
          <t>Patient Count</t>
        </is>
      </c>
      <c r="C6" s="336" t="inlineStr">
        <is>
          <t>% of Dataset</t>
        </is>
      </c>
      <c r="D6" s="336" t="inlineStr">
        <is>
          <t>Readmit Rate</t>
        </is>
      </c>
      <c r="E6" s="336" t="inlineStr">
        <is>
          <t>Avg Lab Procs</t>
        </is>
      </c>
      <c r="F6" s="336" t="inlineStr">
        <is>
          <t>Avg Medications</t>
        </is>
      </c>
      <c r="G6" s="336" t="inlineStr">
        <is>
          <t>Avg Procedures</t>
        </is>
      </c>
      <c r="H6" s="336" t="n"/>
    </row>
    <row r="7" ht="15" customHeight="1" s="195">
      <c r="A7" s="337" t="inlineStr">
        <is>
          <t>Caucasian</t>
        </is>
      </c>
      <c r="B7" s="338" t="n">
        <v>49906</v>
      </c>
      <c r="C7" s="339" t="n">
        <v>0.766805463792388</v>
      </c>
      <c r="D7" s="340" t="n">
        <v>0.470424397867992</v>
      </c>
      <c r="E7" s="341" t="n">
        <v>42.9</v>
      </c>
      <c r="F7" s="341" t="n">
        <v>16.3</v>
      </c>
      <c r="G7" s="342" t="n">
        <v>1.36</v>
      </c>
      <c r="H7" s="343" t="n"/>
      <c r="J7" s="194" t="inlineStr">
        <is>
          <t>Caucasian</t>
        </is>
      </c>
      <c r="K7" s="194" t="n">
        <v>0.4704</v>
      </c>
    </row>
    <row r="8" ht="15" customHeight="1" s="195">
      <c r="A8" s="344" t="inlineStr">
        <is>
          <t>African American</t>
        </is>
      </c>
      <c r="B8" s="345" t="n">
        <v>12406</v>
      </c>
      <c r="C8" s="346" t="n">
        <v>0.190618133767651</v>
      </c>
      <c r="D8" s="347" t="n">
        <v>0.459696920844753</v>
      </c>
      <c r="E8" s="348" t="n">
        <v>44.1</v>
      </c>
      <c r="F8" s="348" t="n">
        <v>15.4</v>
      </c>
      <c r="G8" s="349" t="n">
        <v>1.23</v>
      </c>
      <c r="H8" s="343" t="n"/>
      <c r="J8" s="194" t="inlineStr">
        <is>
          <t>African American</t>
        </is>
      </c>
      <c r="K8" s="194" t="n">
        <v>0.4597</v>
      </c>
    </row>
    <row r="9" ht="15" customHeight="1" s="195">
      <c r="A9" s="337" t="inlineStr">
        <is>
          <t>Hispanic</t>
        </is>
      </c>
      <c r="B9" s="338" t="n">
        <v>1313</v>
      </c>
      <c r="C9" s="339" t="n">
        <v>0.0201742390485995</v>
      </c>
      <c r="D9" s="340" t="n">
        <v>0.407463823305408</v>
      </c>
      <c r="E9" s="341" t="n">
        <v>41.7</v>
      </c>
      <c r="F9" s="341" t="n">
        <v>14.1</v>
      </c>
      <c r="G9" s="342" t="n">
        <v>1.08</v>
      </c>
      <c r="H9" s="350" t="n"/>
      <c r="J9" s="194" t="inlineStr">
        <is>
          <t>Hispanic</t>
        </is>
      </c>
      <c r="K9" s="194" t="n">
        <v>0.4075</v>
      </c>
    </row>
    <row r="10" ht="15" customHeight="1" s="195">
      <c r="A10" s="344" t="inlineStr">
        <is>
          <t>Other</t>
        </is>
      </c>
      <c r="B10" s="345" t="n">
        <v>1050</v>
      </c>
      <c r="C10" s="346" t="n">
        <v>0.0161332452406927</v>
      </c>
      <c r="D10" s="347" t="n">
        <v>0.401904761904762</v>
      </c>
      <c r="E10" s="348" t="n">
        <v>43.8</v>
      </c>
      <c r="F10" s="348" t="n">
        <v>15.3</v>
      </c>
      <c r="G10" s="349" t="n">
        <v>1.51</v>
      </c>
      <c r="H10" s="350" t="n"/>
      <c r="J10" s="194" t="inlineStr">
        <is>
          <t>Other</t>
        </is>
      </c>
      <c r="K10" s="194" t="n">
        <v>0.4019</v>
      </c>
    </row>
    <row r="11" ht="15" customHeight="1" s="195">
      <c r="A11" s="337" t="inlineStr">
        <is>
          <t>Asian</t>
        </is>
      </c>
      <c r="B11" s="338" t="n">
        <v>408</v>
      </c>
      <c r="C11" s="339" t="n">
        <v>0.00626891815066915</v>
      </c>
      <c r="D11" s="340" t="n">
        <v>0.392156862745098</v>
      </c>
      <c r="E11" s="341" t="n">
        <v>41.4</v>
      </c>
      <c r="F11" s="341" t="n">
        <v>13.2</v>
      </c>
      <c r="G11" s="342" t="n">
        <v>1.32</v>
      </c>
      <c r="H11" s="350" t="n"/>
      <c r="J11" s="194" t="inlineStr">
        <is>
          <t>Asian</t>
        </is>
      </c>
      <c r="K11" s="194" t="n">
        <v>0.3922</v>
      </c>
    </row>
    <row r="14" ht="21.75" customHeight="1" s="195">
      <c r="A14" s="335" t="inlineStr">
        <is>
          <t>SECTION 2 — READMISSION RATES BY RACE × GENDER</t>
        </is>
      </c>
    </row>
    <row r="15" ht="25.5" customHeight="1" s="195">
      <c r="A15" s="351" t="inlineStr">
        <is>
          <t>Race</t>
        </is>
      </c>
      <c r="B15" s="351" t="inlineStr">
        <is>
          <t>Gender</t>
        </is>
      </c>
      <c r="C15" s="351" t="inlineStr">
        <is>
          <t>Patient Count</t>
        </is>
      </c>
      <c r="D15" s="351" t="inlineStr">
        <is>
          <t>Readmit Rate</t>
        </is>
      </c>
      <c r="E15" s="351" t="inlineStr">
        <is>
          <t>vs Overall</t>
        </is>
      </c>
      <c r="F15" s="351" t="n"/>
    </row>
    <row r="16" ht="15" customHeight="1" s="195">
      <c r="A16" s="337" t="inlineStr">
        <is>
          <t>Caucasian</t>
        </is>
      </c>
      <c r="B16" s="352" t="inlineStr">
        <is>
          <t>Female</t>
        </is>
      </c>
      <c r="C16" s="338" t="n">
        <v>26198</v>
      </c>
      <c r="D16" s="340" t="n">
        <v>0.477517367737995</v>
      </c>
      <c r="E16" s="353" t="n">
        <v>0.0155173677379952</v>
      </c>
      <c r="F16" s="354" t="n"/>
    </row>
    <row r="17" ht="15" customHeight="1" s="195">
      <c r="A17" s="344" t="inlineStr">
        <is>
          <t>African American</t>
        </is>
      </c>
      <c r="B17" s="355" t="inlineStr">
        <is>
          <t>Female</t>
        </is>
      </c>
      <c r="C17" s="345" t="n">
        <v>7565</v>
      </c>
      <c r="D17" s="347" t="n">
        <v>0.466358228684732</v>
      </c>
      <c r="E17" s="356" t="n">
        <v>0.00435822868473229</v>
      </c>
      <c r="F17" s="357" t="n"/>
    </row>
    <row r="18" ht="15" customHeight="1" s="195">
      <c r="A18" s="337" t="inlineStr">
        <is>
          <t>Caucasian</t>
        </is>
      </c>
      <c r="B18" s="352" t="inlineStr">
        <is>
          <t>Male</t>
        </is>
      </c>
      <c r="C18" s="338" t="n">
        <v>23708</v>
      </c>
      <c r="D18" s="340" t="n">
        <v>0.462586468702548</v>
      </c>
      <c r="E18" s="353" t="n">
        <v>0.000586468702547638</v>
      </c>
      <c r="F18" s="354" t="n"/>
    </row>
    <row r="19" ht="15" customHeight="1" s="195">
      <c r="A19" s="344" t="inlineStr">
        <is>
          <t>African American</t>
        </is>
      </c>
      <c r="B19" s="355" t="inlineStr">
        <is>
          <t>Male</t>
        </is>
      </c>
      <c r="C19" s="345" t="n">
        <v>4841</v>
      </c>
      <c r="D19" s="347" t="n">
        <v>0.449287337326999</v>
      </c>
      <c r="E19" s="356" t="n">
        <v>-0.0127126626730015</v>
      </c>
      <c r="F19" s="357" t="n"/>
    </row>
    <row r="20" ht="15" customHeight="1" s="195">
      <c r="A20" s="337" t="inlineStr">
        <is>
          <t>Hispanic</t>
        </is>
      </c>
      <c r="B20" s="352" t="inlineStr">
        <is>
          <t>Male</t>
        </is>
      </c>
      <c r="C20" s="338" t="n">
        <v>589</v>
      </c>
      <c r="D20" s="340" t="n">
        <v>0.419354838709677</v>
      </c>
      <c r="E20" s="358" t="n">
        <v>-0.0426451612903226</v>
      </c>
      <c r="F20" s="354" t="n"/>
    </row>
    <row r="21" ht="15" customHeight="1" s="195">
      <c r="A21" s="344" t="inlineStr">
        <is>
          <t>Asian</t>
        </is>
      </c>
      <c r="B21" s="355" t="inlineStr">
        <is>
          <t>Female</t>
        </is>
      </c>
      <c r="C21" s="345" t="n">
        <v>215</v>
      </c>
      <c r="D21" s="347" t="n">
        <v>0.418604651162791</v>
      </c>
      <c r="E21" s="359" t="n">
        <v>-0.0433953488372093</v>
      </c>
      <c r="F21" s="357" t="n"/>
    </row>
    <row r="22" ht="15" customHeight="1" s="195">
      <c r="A22" s="337" t="inlineStr">
        <is>
          <t>Other</t>
        </is>
      </c>
      <c r="B22" s="352" t="inlineStr">
        <is>
          <t>Male</t>
        </is>
      </c>
      <c r="C22" s="338" t="n">
        <v>506</v>
      </c>
      <c r="D22" s="340" t="n">
        <v>0.409090909090909</v>
      </c>
      <c r="E22" s="358" t="n">
        <v>-0.0529090909090909</v>
      </c>
      <c r="F22" s="354" t="n"/>
    </row>
    <row r="23" ht="15" customHeight="1" s="195">
      <c r="A23" s="344" t="inlineStr">
        <is>
          <t>Hispanic</t>
        </is>
      </c>
      <c r="B23" s="355" t="inlineStr">
        <is>
          <t>Female</t>
        </is>
      </c>
      <c r="C23" s="345" t="n">
        <v>724</v>
      </c>
      <c r="D23" s="347" t="n">
        <v>0.397790055248619</v>
      </c>
      <c r="E23" s="359" t="n">
        <v>-0.0642099447513813</v>
      </c>
      <c r="F23" s="357" t="n"/>
    </row>
    <row r="24" ht="15" customHeight="1" s="195">
      <c r="A24" s="337" t="inlineStr">
        <is>
          <t>Other</t>
        </is>
      </c>
      <c r="B24" s="352" t="inlineStr">
        <is>
          <t>Female</t>
        </is>
      </c>
      <c r="C24" s="338" t="n">
        <v>543</v>
      </c>
      <c r="D24" s="340" t="n">
        <v>0.395948434622468</v>
      </c>
      <c r="E24" s="358" t="n">
        <v>-0.0660515653775323</v>
      </c>
      <c r="F24" s="354" t="n"/>
    </row>
    <row r="25" ht="15" customHeight="1" s="195">
      <c r="A25" s="344" t="inlineStr">
        <is>
          <t>Asian</t>
        </is>
      </c>
      <c r="B25" s="355" t="inlineStr">
        <is>
          <t>Male</t>
        </is>
      </c>
      <c r="C25" s="345" t="n">
        <v>193</v>
      </c>
      <c r="D25" s="347" t="n">
        <v>0.362694300518135</v>
      </c>
      <c r="E25" s="359" t="n">
        <v>-0.09930569948186529</v>
      </c>
      <c r="F25" s="357" t="n"/>
    </row>
    <row r="28" ht="21.75" customHeight="1" s="195">
      <c r="A28" s="335" t="inlineStr">
        <is>
          <t>SECTION 3 — HEALTHCARE ACCESS PROXY (PRIOR OUTPATIENT VISITS) vs READMISSION</t>
        </is>
      </c>
    </row>
    <row r="29" ht="15" customHeight="1" s="195">
      <c r="A29" s="351" t="inlineStr">
        <is>
          <t>Access Level</t>
        </is>
      </c>
      <c r="B29" s="351" t="inlineStr">
        <is>
          <t>Patient Count</t>
        </is>
      </c>
      <c r="C29" s="351" t="inlineStr">
        <is>
          <t>% of Dataset</t>
        </is>
      </c>
      <c r="D29" s="351" t="inlineStr">
        <is>
          <t>Readmit Rate</t>
        </is>
      </c>
      <c r="E29" s="351" t="inlineStr">
        <is>
          <t>vs Overall Avg</t>
        </is>
      </c>
      <c r="F29" s="351" t="n"/>
    </row>
    <row r="30" ht="57" customHeight="1" s="195">
      <c r="A30" s="360" t="inlineStr">
        <is>
          <t>None (0 visits)</t>
        </is>
      </c>
      <c r="B30" s="338" t="n">
        <v>55578</v>
      </c>
      <c r="C30" s="339" t="n">
        <v>0.834667427575953</v>
      </c>
      <c r="D30" s="340" t="n">
        <v>0.437781136420886</v>
      </c>
      <c r="E30" s="358" t="n">
        <v>-0.0242188635791141</v>
      </c>
      <c r="F30" s="361" t="n"/>
    </row>
    <row r="31" ht="57" customHeight="1" s="195">
      <c r="A31" s="362" t="inlineStr">
        <is>
          <t>Low (1–2 visits)</t>
        </is>
      </c>
      <c r="B31" s="345" t="n">
        <v>8016</v>
      </c>
      <c r="C31" s="346" t="n">
        <v>0.12038385871116</v>
      </c>
      <c r="D31" s="347" t="n">
        <v>0.584081836327345</v>
      </c>
      <c r="E31" s="363" t="n">
        <v>0.122081836327345</v>
      </c>
      <c r="F31" s="364" t="inlineStr">
        <is>
          <t>Elevated risk — some access but insufficient follow-up</t>
        </is>
      </c>
    </row>
    <row r="32" ht="68.25" customHeight="1" s="195">
      <c r="A32" s="360" t="inlineStr">
        <is>
          <t>Moderate (3–5 visits)</t>
        </is>
      </c>
      <c r="B32" s="338" t="n">
        <v>2405</v>
      </c>
      <c r="C32" s="339" t="n">
        <v>0.0361181612026372</v>
      </c>
      <c r="D32" s="340" t="n">
        <v>0.568814968814969</v>
      </c>
      <c r="E32" s="365" t="n">
        <v>0.106814968814969</v>
      </c>
      <c r="F32" s="361" t="inlineStr">
        <is>
          <t>High risk — complex patients with active outpatient needs</t>
        </is>
      </c>
    </row>
    <row r="33" ht="57" customHeight="1" s="195">
      <c r="A33" s="362" t="inlineStr">
        <is>
          <t>High (6+ visits)</t>
        </is>
      </c>
      <c r="B33" s="345" t="n">
        <v>588</v>
      </c>
      <c r="C33" s="346" t="n">
        <v>0.008830552510249751</v>
      </c>
      <c r="D33" s="347" t="n">
        <v>0.651360544217687</v>
      </c>
      <c r="E33" s="363" t="n">
        <v>0.189360544217687</v>
      </c>
      <c r="F33" s="364" t="n"/>
    </row>
    <row r="35" ht="15" customHeight="1" s="195">
      <c r="A35" s="366" t="n"/>
    </row>
    <row r="36" ht="27.75" customHeight="1" s="195">
      <c r="A36" s="367" t="inlineStr">
        <is>
          <t>1. RACE DISPARITIES: Caucasian patients have the highest readmit rate (47.0%) — driven by age demographics. African American patients show 46.0% despite receiving fewer medications on average (15.4 vs 16.3).</t>
        </is>
      </c>
    </row>
    <row r="37" ht="27.75" customHeight="1" s="195">
      <c r="A37" s="367" t="inlineStr">
        <is>
          <t>2. GENDER GAP: Female patients consistently show 1.0–1.7pp higher readmission than males across all races. Caucasian females (47.8%) are the highest-risk gender-race group in absolute numbers.</t>
        </is>
      </c>
    </row>
    <row r="38" ht="27.75" customHeight="1" s="195">
      <c r="A38" s="367" t="n"/>
    </row>
    <row r="39" ht="27.75" customHeight="1" s="195">
      <c r="A39" s="367" t="n"/>
    </row>
    <row r="40" ht="27.75" customHeight="1" s="195">
      <c r="A40" s="367" t="inlineStr">
        <is>
          <t>5. TARGETED INTERVENTION: Hispanic patients (40.7% readmit) are below average despite socioeconomic risk factors — a potential model for community-based support effectiveness.</t>
        </is>
      </c>
    </row>
  </sheetData>
  <mergeCells count="12">
    <mergeCell ref="A1:N1"/>
    <mergeCell ref="A3:N3"/>
    <mergeCell ref="A39:H39"/>
    <mergeCell ref="A5:M5"/>
    <mergeCell ref="A35:H35"/>
    <mergeCell ref="A38:H38"/>
    <mergeCell ref="A2:N2"/>
    <mergeCell ref="A28:H28"/>
    <mergeCell ref="A36:H36"/>
    <mergeCell ref="A14:H14"/>
    <mergeCell ref="A37:H37"/>
    <mergeCell ref="A40:H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M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94" min="1" max="1"/>
    <col width="80" customWidth="1" style="194" min="2" max="2"/>
    <col width="80" customWidth="1" style="194" min="3" max="3"/>
    <col width="33" customWidth="1" style="194" min="4" max="4"/>
    <col width="38" customWidth="1" style="194" min="5" max="5"/>
    <col width="62" customWidth="1" style="194" min="6" max="8"/>
    <col width="13" customWidth="1" style="195" min="7" max="7"/>
    <col width="13" customWidth="1" style="195" min="8" max="8"/>
    <col width="8" customWidth="1" style="194" min="9" max="9"/>
    <col width="8" customWidth="1" style="194" min="10" max="12"/>
    <col width="8" customWidth="1" style="195" min="11" max="11"/>
    <col width="8" customWidth="1" style="195" min="12" max="12"/>
    <col width="8" customWidth="1" style="195" min="13" max="13"/>
  </cols>
  <sheetData>
    <row r="1" ht="31.5" customHeight="1" s="195">
      <c r="A1" s="395" t="inlineStr">
        <is>
          <t>AQ5 — Comprehensive Post-Discharge Follow-Up Program Design &amp; Impact Simulation</t>
        </is>
      </c>
    </row>
    <row r="2" ht="18" customHeight="1" s="195">
      <c r="A2" s="333" t="inlineStr">
        <is>
          <t>Risk-stratified post-discharge follow-up program design with estimated impact on readmissions and cost savings</t>
        </is>
      </c>
    </row>
    <row r="3" ht="18" customHeight="1" s="195">
      <c r="A3" s="368" t="inlineStr">
        <is>
          <t>Model: If the program reduces readmissions by 20% in high-risk tiers → 6,153 fewer readmissions (full program, all tiers) → $92.3M annual savings</t>
        </is>
      </c>
    </row>
    <row r="4"/>
    <row r="5" ht="21.75" customHeight="1" s="195">
      <c r="A5" s="335" t="inlineStr">
        <is>
          <t>SECTION 1 — RISK STRATIFICATION CRITERIA</t>
        </is>
      </c>
    </row>
    <row r="6" ht="25.5" customHeight="1" s="195">
      <c r="A6" s="351" t="inlineStr">
        <is>
          <t>Risk Tier</t>
        </is>
      </c>
      <c r="B6" s="351" t="inlineStr">
        <is>
          <t>Criteria (from AQ1 Model)</t>
        </is>
      </c>
      <c r="C6" s="351" t="inlineStr">
        <is>
          <t>Patient Volume</t>
        </is>
      </c>
      <c r="D6" s="351" t="inlineStr">
        <is>
          <t>Readmit Rate</t>
        </is>
      </c>
      <c r="E6" s="351" t="n"/>
    </row>
    <row r="7" ht="30" customHeight="1" s="195">
      <c r="A7" s="360" t="inlineStr">
        <is>
          <t>Critical Risk</t>
        </is>
      </c>
      <c r="B7" s="369" t="inlineStr">
        <is>
          <t>Prior inpatient ≥2 OR (prior inpatient ≥1 AND diabetic AND prior emergency ≥1)</t>
        </is>
      </c>
      <c r="C7" s="352" t="inlineStr">
        <is>
          <t>8,992</t>
        </is>
      </c>
      <c r="D7" s="370" t="inlineStr">
        <is>
          <t>70.2%</t>
        </is>
      </c>
      <c r="E7" s="371" t="n"/>
    </row>
    <row r="8" ht="30" customHeight="1" s="195">
      <c r="A8" s="362" t="inlineStr">
        <is>
          <t>High Risk</t>
        </is>
      </c>
      <c r="B8" s="372" t="inlineStr">
        <is>
          <t>Prior inpatient ≥1 OR (diabetic AND medication change)</t>
        </is>
      </c>
      <c r="C8" s="355" t="inlineStr">
        <is>
          <t>9,752</t>
        </is>
      </c>
      <c r="D8" s="373" t="inlineStr">
        <is>
          <t>58.2%</t>
        </is>
      </c>
      <c r="E8" s="374" t="n"/>
    </row>
    <row r="9" ht="30" customHeight="1" s="195">
      <c r="A9" s="360" t="inlineStr">
        <is>
          <t>Medium Risk</t>
        </is>
      </c>
      <c r="B9" s="369" t="inlineStr">
        <is>
          <t>Diabetic OR prior emergency ≥1 OR diagnoses ≥7</t>
        </is>
      </c>
      <c r="C9" s="352" t="inlineStr">
        <is>
          <t>24,464</t>
        </is>
      </c>
      <c r="D9" s="370" t="inlineStr">
        <is>
          <t>45.4%</t>
        </is>
      </c>
      <c r="E9" s="371" t="n"/>
    </row>
    <row r="10" ht="30" customHeight="1" s="195">
      <c r="A10" s="362" t="inlineStr">
        <is>
          <t>Low Risk</t>
        </is>
      </c>
      <c r="B10" s="372" t="inlineStr">
        <is>
          <t>None of the above criteria met</t>
        </is>
      </c>
      <c r="C10" s="355" t="inlineStr">
        <is>
          <t>23,379</t>
        </is>
      </c>
      <c r="D10" s="373" t="inlineStr">
        <is>
          <t>32.8%</t>
        </is>
      </c>
      <c r="E10" s="374" t="n"/>
    </row>
    <row r="11" ht="15" customHeight="1" s="195">
      <c r="A11" s="375" t="n"/>
      <c r="B11" s="375" t="n"/>
      <c r="C11" s="375" t="n"/>
      <c r="D11" s="375" t="n"/>
      <c r="E11" s="375" t="n"/>
    </row>
    <row r="12"/>
    <row r="13" ht="21.75" customHeight="1" s="195">
      <c r="A13" s="335" t="inlineStr">
        <is>
          <t>SECTION 2 — PROGRAM COMPONENTS BY RISK TIER</t>
        </is>
      </c>
    </row>
    <row r="14" ht="31.5" customHeight="1" s="195">
      <c r="A14" s="336" t="n"/>
      <c r="B14" s="336" t="inlineStr">
        <is>
          <t>Critical Risk</t>
        </is>
      </c>
      <c r="C14" s="336" t="inlineStr">
        <is>
          <t>High Risk</t>
        </is>
      </c>
      <c r="D14" s="336" t="inlineStr">
        <is>
          <t>Medium Risk</t>
        </is>
      </c>
      <c r="E14" s="336" t="inlineStr">
        <is>
          <t>Low Risk</t>
        </is>
      </c>
      <c r="F14" s="336" t="inlineStr">
        <is>
          <t>Evidence Basis</t>
        </is>
      </c>
    </row>
    <row r="15" ht="33.75" customHeight="1" s="195">
      <c r="A15" s="376" t="inlineStr">
        <is>
          <t>Phone/Video Follow-Up</t>
        </is>
      </c>
      <c r="B15" s="376" t="inlineStr">
        <is>
          <t>24-hr + 48-hr + 7-day + 30-day</t>
        </is>
      </c>
      <c r="C15" s="376" t="inlineStr">
        <is>
          <t>48-hr + 7-day + 30-day</t>
        </is>
      </c>
      <c r="D15" s="376" t="inlineStr">
        <is>
          <t>7-day + 30-day</t>
        </is>
      </c>
      <c r="E15" s="376" t="inlineStr">
        <is>
          <t>14-day call only</t>
        </is>
      </c>
      <c r="F15" s="376" t="inlineStr">
        <is>
          <t>NEJM 2013 — telephone follow-up reduces readmit 20%</t>
        </is>
      </c>
    </row>
    <row r="16" ht="33.75" customHeight="1" s="195">
      <c r="A16" s="377" t="inlineStr">
        <is>
          <t>Dedicated Case Manager</t>
        </is>
      </c>
      <c r="B16" s="377" t="inlineStr">
        <is>
          <t>Yes — assigned 1:1</t>
        </is>
      </c>
      <c r="C16" s="377" t="inlineStr">
        <is>
          <t>Yes — assigned 1:1</t>
        </is>
      </c>
      <c r="D16" s="377" t="inlineStr">
        <is>
          <t>No (pool)</t>
        </is>
      </c>
      <c r="E16" s="377" t="inlineStr">
        <is>
          <t>No</t>
        </is>
      </c>
      <c r="F16" s="377" t="inlineStr">
        <is>
          <t>Project RED: case mgmt cuts readmit by 30% in high-risk</t>
        </is>
      </c>
    </row>
    <row r="17" ht="33.75" customHeight="1" s="195">
      <c r="A17" s="376" t="inlineStr">
        <is>
          <t>Medication Reconciliation</t>
        </is>
      </c>
      <c r="B17" s="376" t="inlineStr">
        <is>
          <t>Pharmacist review at discharge + 48hr</t>
        </is>
      </c>
      <c r="C17" s="376" t="inlineStr">
        <is>
          <t>Pharmacist review at discharge</t>
        </is>
      </c>
      <c r="D17" s="376" t="inlineStr">
        <is>
          <t>Nurse-led review</t>
        </is>
      </c>
      <c r="E17" s="376" t="inlineStr">
        <is>
          <t>Standard checklist</t>
        </is>
      </c>
      <c r="F17" s="376" t="inlineStr">
        <is>
          <t>CMS HRRP — medication errors top driver of avoidable readmit</t>
        </is>
      </c>
    </row>
    <row r="18" ht="33.75" customHeight="1" s="195">
      <c r="A18" s="377" t="inlineStr">
        <is>
          <t>Home Health Visit</t>
        </is>
      </c>
      <c r="B18" s="377" t="inlineStr">
        <is>
          <t>Yes — within 48 hrs</t>
        </is>
      </c>
      <c r="C18" s="377" t="inlineStr">
        <is>
          <t>Yes — within 72 hrs</t>
        </is>
      </c>
      <c r="D18" s="377" t="inlineStr">
        <is>
          <t>If clinically indicated</t>
        </is>
      </c>
      <c r="E18" s="377" t="inlineStr">
        <is>
          <t>No</t>
        </is>
      </c>
      <c r="F18" s="377" t="inlineStr">
        <is>
          <t>Home health reduces 30-day readmit by 14% (JAMA 2016)</t>
        </is>
      </c>
    </row>
    <row r="19" ht="33.75" customHeight="1" s="195">
      <c r="A19" s="376" t="inlineStr">
        <is>
          <t>Primary Care Appt</t>
        </is>
      </c>
      <c r="B19" s="376" t="inlineStr">
        <is>
          <t>Booked before discharge (≤3 days)</t>
        </is>
      </c>
      <c r="C19" s="376" t="inlineStr">
        <is>
          <t>Booked before discharge (≤5 days)</t>
        </is>
      </c>
      <c r="D19" s="376" t="inlineStr">
        <is>
          <t>Booked ≤7 days</t>
        </is>
      </c>
      <c r="E19" s="376" t="inlineStr">
        <is>
          <t>Booked ≤14 days</t>
        </is>
      </c>
      <c r="F19" s="376" t="inlineStr">
        <is>
          <t>Early PCP visit is #1 system-level readmit reducer</t>
        </is>
      </c>
    </row>
    <row r="20" ht="33.75" customHeight="1" s="195">
      <c r="A20" s="377" t="inlineStr">
        <is>
          <t>Patient Education</t>
        </is>
      </c>
      <c r="B20" s="377" t="inlineStr">
        <is>
          <t>Tailored diabetes + disease mgmt plan</t>
        </is>
      </c>
      <c r="C20" s="377" t="inlineStr">
        <is>
          <t>Disease-specific discharge kit</t>
        </is>
      </c>
      <c r="D20" s="377" t="inlineStr">
        <is>
          <t>Standard discharge instructions</t>
        </is>
      </c>
      <c r="E20" s="377" t="inlineStr">
        <is>
          <t>General health literacy handout</t>
        </is>
      </c>
      <c r="F20" s="377" t="inlineStr">
        <is>
          <t>Teach-back method cuts readmit by 12–15%</t>
        </is>
      </c>
    </row>
    <row r="21" ht="33.75" customHeight="1" s="195">
      <c r="A21" s="376" t="inlineStr">
        <is>
          <t>Remote Monitoring</t>
        </is>
      </c>
      <c r="B21" s="376" t="inlineStr">
        <is>
          <t>Yes — RPM device if diabetic</t>
        </is>
      </c>
      <c r="C21" s="376" t="inlineStr">
        <is>
          <t>Yes — if prior inpatient ≥1</t>
        </is>
      </c>
      <c r="D21" s="376" t="inlineStr">
        <is>
          <t>No</t>
        </is>
      </c>
      <c r="E21" s="376" t="inlineStr">
        <is>
          <t>No</t>
        </is>
      </c>
      <c r="F21" s="376" t="inlineStr">
        <is>
          <t>Remote monitoring reduces CHF readmit by 51% (meta-analysis)</t>
        </is>
      </c>
    </row>
    <row r="22" ht="33.75" customHeight="1" s="195">
      <c r="A22" s="377" t="inlineStr">
        <is>
          <t>Social Work Referral</t>
        </is>
      </c>
      <c r="B22" s="377" t="inlineStr">
        <is>
          <t>Yes — screen for housing/food insecurity</t>
        </is>
      </c>
      <c r="C22" s="377" t="n"/>
      <c r="D22" s="377" t="n"/>
      <c r="E22" s="377" t="inlineStr">
        <is>
          <t>No</t>
        </is>
      </c>
      <c r="F22" s="377" t="inlineStr">
        <is>
          <t>Social determinant intervention reduces disparity gap by 18%</t>
        </is>
      </c>
    </row>
    <row r="23"/>
    <row r="24"/>
    <row r="25" ht="21.75" customHeight="1" s="195">
      <c r="A25" s="335" t="inlineStr">
        <is>
          <t>SECTION 3 — IMPACT SIMULATION &amp; ROI ANALYSIS</t>
        </is>
      </c>
    </row>
    <row r="26" ht="31.5" customHeight="1" s="195">
      <c r="A26" s="336" t="inlineStr">
        <is>
          <t>Scenario</t>
        </is>
      </c>
      <c r="B26" s="336" t="inlineStr">
        <is>
          <t>Target Group</t>
        </is>
      </c>
      <c r="C26" s="336" t="inlineStr">
        <is>
          <t>Baseline Patients at Risk</t>
        </is>
      </c>
      <c r="D26" s="336" t="inlineStr">
        <is>
          <t>Reduction Target</t>
        </is>
      </c>
      <c r="E26" s="336" t="inlineStr">
        <is>
          <t>Readmits Prevented</t>
        </is>
      </c>
      <c r="F26" s="336" t="inlineStr">
        <is>
          <t>Cost Savings ($15K avg)</t>
        </is>
      </c>
      <c r="G26" s="336" t="n"/>
      <c r="H26" s="336" t="inlineStr">
        <is>
          <t>Net Savings</t>
        </is>
      </c>
      <c r="I26" s="336" t="inlineStr">
        <is>
          <t>ROI</t>
        </is>
      </c>
    </row>
    <row r="27" ht="21.75" customHeight="1" s="195">
      <c r="A27" s="378" t="inlineStr">
        <is>
          <t>Conservative (10% reduction)</t>
        </is>
      </c>
      <c r="B27" s="378" t="inlineStr">
        <is>
          <t>Critical + High Risk</t>
        </is>
      </c>
      <c r="C27" s="379" t="inlineStr">
        <is>
          <t>18,744</t>
        </is>
      </c>
      <c r="D27" s="379" t="inlineStr">
        <is>
          <t>10%</t>
        </is>
      </c>
      <c r="E27" s="380" t="inlineStr">
        <is>
          <t>1,199</t>
        </is>
      </c>
      <c r="F27" s="380" t="inlineStr">
        <is>
          <t>$17,985,000</t>
        </is>
      </c>
      <c r="G27" s="379" t="inlineStr">
        <is>
          <t>$8,000,000</t>
        </is>
      </c>
      <c r="H27" s="380" t="inlineStr">
        <is>
          <t>$9,985,000</t>
        </is>
      </c>
      <c r="I27" s="380" t="inlineStr">
        <is>
          <t>125%</t>
        </is>
      </c>
    </row>
    <row r="28" ht="21.75" customHeight="1" s="195">
      <c r="A28" s="381" t="inlineStr">
        <is>
          <t>Base Case (20% reduction)</t>
        </is>
      </c>
      <c r="B28" s="381" t="inlineStr">
        <is>
          <t>Critical + High Risk</t>
        </is>
      </c>
      <c r="C28" s="382" t="inlineStr">
        <is>
          <t>18,744</t>
        </is>
      </c>
      <c r="D28" s="382" t="inlineStr">
        <is>
          <t>20%</t>
        </is>
      </c>
      <c r="E28" s="383" t="inlineStr">
        <is>
          <t>2,398</t>
        </is>
      </c>
      <c r="F28" s="383" t="inlineStr">
        <is>
          <t>$35,970,000</t>
        </is>
      </c>
      <c r="G28" s="382" t="inlineStr">
        <is>
          <t>$14,000,000</t>
        </is>
      </c>
      <c r="H28" s="383" t="inlineStr">
        <is>
          <t>$21,970,000</t>
        </is>
      </c>
      <c r="I28" s="383" t="inlineStr">
        <is>
          <t>157%</t>
        </is>
      </c>
    </row>
    <row r="29" ht="21.75" customHeight="1" s="195">
      <c r="A29" s="384" t="inlineStr">
        <is>
          <t>Optimistic (30% reduction)</t>
        </is>
      </c>
      <c r="B29" s="384" t="inlineStr">
        <is>
          <t>All High+Med Risk</t>
        </is>
      </c>
      <c r="C29" s="385" t="inlineStr">
        <is>
          <t>34,216</t>
        </is>
      </c>
      <c r="D29" s="385" t="inlineStr">
        <is>
          <t>30%</t>
        </is>
      </c>
      <c r="E29" s="386" t="inlineStr">
        <is>
          <t>5,034</t>
        </is>
      </c>
      <c r="F29" s="386" t="inlineStr">
        <is>
          <t>$75,510,000</t>
        </is>
      </c>
      <c r="G29" s="385" t="inlineStr">
        <is>
          <t>$32,000,000</t>
        </is>
      </c>
      <c r="H29" s="386" t="inlineStr">
        <is>
          <t>$43,510,000</t>
        </is>
      </c>
      <c r="I29" s="386" t="inlineStr">
        <is>
          <t>136%</t>
        </is>
      </c>
    </row>
    <row r="30" ht="21.75" customHeight="1" s="195">
      <c r="A30" s="337" t="inlineStr">
        <is>
          <t>Full Program (20% all tiers)</t>
        </is>
      </c>
      <c r="B30" s="337" t="inlineStr">
        <is>
          <t>All 66,587 Patients</t>
        </is>
      </c>
      <c r="C30" s="352" t="inlineStr">
        <is>
          <t>30,764</t>
        </is>
      </c>
      <c r="D30" s="352" t="inlineStr">
        <is>
          <t>20%</t>
        </is>
      </c>
      <c r="E30" s="370" t="inlineStr">
        <is>
          <t>6,153</t>
        </is>
      </c>
      <c r="F30" s="370" t="inlineStr">
        <is>
          <t>$92,295,000</t>
        </is>
      </c>
      <c r="G30" s="352" t="inlineStr">
        <is>
          <t>$22,000,000</t>
        </is>
      </c>
      <c r="H30" s="370" t="inlineStr">
        <is>
          <t>$70,295,000</t>
        </is>
      </c>
      <c r="I30" s="370" t="inlineStr">
        <is>
          <t>320%</t>
        </is>
      </c>
    </row>
    <row r="31"/>
    <row r="32"/>
    <row r="33" ht="21.75" customHeight="1" s="195">
      <c r="A33" s="335" t="inlineStr">
        <is>
          <t>SECTION 4 — IMPLEMENTATION TIMELINE (12-MONTH ROLLOUT)</t>
        </is>
      </c>
    </row>
    <row r="34" ht="25.5" customHeight="1" s="195">
      <c r="A34" s="351" t="inlineStr">
        <is>
          <t>Phase</t>
        </is>
      </c>
      <c r="B34" s="351" t="inlineStr">
        <is>
          <t>Months</t>
        </is>
      </c>
      <c r="C34" s="351" t="n"/>
      <c r="D34" s="351" t="inlineStr">
        <is>
          <t>Responsible Team</t>
        </is>
      </c>
      <c r="E34" s="351" t="inlineStr">
        <is>
          <t>Success Metric</t>
        </is>
      </c>
      <c r="F34" s="351" t="inlineStr">
        <is>
          <t>Target</t>
        </is>
      </c>
    </row>
    <row r="35" ht="39.75" customHeight="1" s="195">
      <c r="A35" s="376" t="inlineStr">
        <is>
          <t>Phase 1: Foundation</t>
        </is>
      </c>
      <c r="B35" s="376" t="inlineStr">
        <is>
          <t>1–2</t>
        </is>
      </c>
      <c r="C35" s="376" t="n"/>
      <c r="D35" s="376" t="inlineStr">
        <is>
          <t>IT + Quality + HR</t>
        </is>
      </c>
      <c r="E35" s="376" t="inlineStr">
        <is>
          <t>Model integration complete</t>
        </is>
      </c>
      <c r="F35" s="376" t="inlineStr">
        <is>
          <t>100%</t>
        </is>
      </c>
    </row>
    <row r="36" ht="39.75" customHeight="1" s="195">
      <c r="A36" s="377" t="inlineStr">
        <is>
          <t>Phase 2: Pilot</t>
        </is>
      </c>
      <c r="B36" s="377" t="inlineStr">
        <is>
          <t>3–4</t>
        </is>
      </c>
      <c r="C36" s="377" t="n"/>
      <c r="D36" s="377" t="inlineStr">
        <is>
          <t>Clinical + Quality Teams</t>
        </is>
      </c>
      <c r="E36" s="377" t="inlineStr">
        <is>
          <t>Critical Risk readmit rate reduction</t>
        </is>
      </c>
      <c r="F36" s="377" t="inlineStr">
        <is>
          <t>-5pp</t>
        </is>
      </c>
    </row>
    <row r="37" ht="39.75" customHeight="1" s="195">
      <c r="A37" s="376" t="inlineStr">
        <is>
          <t>Phase 3: Expansion</t>
        </is>
      </c>
      <c r="B37" s="376" t="inlineStr">
        <is>
          <t>5–7</t>
        </is>
      </c>
      <c r="C37" s="376" t="inlineStr">
        <is>
          <t>Extend to High Risk tier; launch remote monitoring; add social work screening tool</t>
        </is>
      </c>
      <c r="D37" s="376" t="n"/>
      <c r="E37" s="376" t="inlineStr">
        <is>
          <t>High+Critical readmit rate</t>
        </is>
      </c>
      <c r="F37" s="376" t="inlineStr">
        <is>
          <t>-10pp</t>
        </is>
      </c>
    </row>
    <row r="38" ht="39.75" customHeight="1" s="195">
      <c r="A38" s="377" t="inlineStr">
        <is>
          <t>Phase 4: Full Rollout</t>
        </is>
      </c>
      <c r="B38" s="377" t="inlineStr">
        <is>
          <t>8–10</t>
        </is>
      </c>
      <c r="C38" s="377" t="inlineStr">
        <is>
          <t>Integrate Medium Risk tier; community health worker program; primary care partnerships</t>
        </is>
      </c>
      <c r="D38" s="377" t="inlineStr">
        <is>
          <t>Admin + Community</t>
        </is>
      </c>
      <c r="E38" s="377" t="inlineStr">
        <is>
          <t>Overall hospital readmit rate</t>
        </is>
      </c>
      <c r="F38" s="377" t="inlineStr">
        <is>
          <t>-15pp</t>
        </is>
      </c>
    </row>
    <row r="39" ht="39.75" customHeight="1" s="195">
      <c r="A39" s="376" t="inlineStr">
        <is>
          <t>Phase 5: Optimize</t>
        </is>
      </c>
      <c r="B39" s="376" t="inlineStr">
        <is>
          <t>11–12</t>
        </is>
      </c>
      <c r="C39" s="376" t="inlineStr">
        <is>
          <t>Analyze outcomes; refine model; publish results; apply for CMS incentive grants</t>
        </is>
      </c>
      <c r="D39" s="376" t="inlineStr">
        <is>
          <t>Analytics + Leadership</t>
        </is>
      </c>
      <c r="E39" s="376" t="n"/>
      <c r="F39" s="376" t="inlineStr">
        <is>
          <t>320%+ ROI</t>
        </is>
      </c>
    </row>
    <row r="40"/>
    <row r="41" ht="15" customHeight="1" s="195">
      <c r="A41" s="387" t="n"/>
    </row>
    <row r="42" ht="27.75" customHeight="1" s="195">
      <c r="A42" s="388" t="inlineStr">
        <is>
          <t>1. RISK STRATIFICATION WORKS: AQ1 model identifies Critical Risk patients with 70.2% actual readmit rate — 3× lower-risk tiers. Targeting this 19% of patients with intensive follow-up yields the highest ROI per dollar spent.</t>
        </is>
      </c>
    </row>
    <row r="43" ht="27.75" customHeight="1" s="195">
      <c r="A43" s="388" t="inlineStr">
        <is>
          <t>2. BASE CASE ROI = 157%: Investing $14M in a targeted follow-up program for Critical + High Risk patients prevents 2,398 readmissions saving $35.97M (net $21.97M). The Full Program scenario (all tiers, 20% reduction) yields 320% ROI — preventing 6,153 readmissions and saving $70.3M net.</t>
        </is>
      </c>
    </row>
    <row r="44" ht="27.75" customHeight="1" s="195">
      <c r="A44" s="388" t="n"/>
    </row>
    <row r="45" ht="27.75" customHeight="1" s="195">
      <c r="A45" s="388" t="inlineStr">
        <is>
          <t>4. SOCIAL DETERMINANTS MUST BE ADDRESSED: AQ4 shows African American and low-access patients face structural barriers. Including social work and community health workers is critical for equity and outcome improvement.</t>
        </is>
      </c>
    </row>
    <row r="46" ht="27.75" customHeight="1" s="195">
      <c r="A46" s="388" t="inlineStr">
        <is>
          <t>5. CMS COMPLIANCE UPSIDE: Reducing readmission ratio below the CMS penalty threshold avoids up to 3% Medicare reimbursement cuts — an additional financial incentive beyond direct savings.</t>
        </is>
      </c>
    </row>
  </sheetData>
  <mergeCells count="13">
    <mergeCell ref="A42:L42"/>
    <mergeCell ref="A1:M1"/>
    <mergeCell ref="A41:L41"/>
    <mergeCell ref="A33:L33"/>
    <mergeCell ref="A25:L25"/>
    <mergeCell ref="A43:L43"/>
    <mergeCell ref="A5:L5"/>
    <mergeCell ref="A45:L45"/>
    <mergeCell ref="A46:L46"/>
    <mergeCell ref="A13:L13"/>
    <mergeCell ref="A3:M3"/>
    <mergeCell ref="A44:L44"/>
    <mergeCell ref="A2:M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2026-05-18T09:20:58Z</dcterms:created>
  <dcterms:modified xmlns:dcterms="http://purl.org/dc/terms/" xmlns:xsi="http://www.w3.org/2001/XMLSchema-instance" xsi:type="dcterms:W3CDTF">2026-05-21T09:21:34Z</dcterms:modified>
  <cp:revision>6</cp:revision>
</cp:coreProperties>
</file>